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uet-my.sharepoint.com/personal/25f-ds-062_students_duet_edu_pk/Documents/"/>
    </mc:Choice>
  </mc:AlternateContent>
  <xr:revisionPtr revIDLastSave="2570" documentId="8_{E3A74236-29DA-47C4-9917-D7F256ED6A05}" xr6:coauthVersionLast="47" xr6:coauthVersionMax="47" xr10:uidLastSave="{D1526ACA-2F43-4BD8-A2F4-A431B03945CB}"/>
  <bookViews>
    <workbookView xWindow="-120" yWindow="-120" windowWidth="20730" windowHeight="11040" activeTab="2" xr2:uid="{5E08FCD0-2FC6-49E9-B25D-10B371BE47C6}"/>
  </bookViews>
  <sheets>
    <sheet name="Data" sheetId="2" r:id="rId1"/>
    <sheet name="Pivot" sheetId="1" r:id="rId2"/>
    <sheet name="DashBoard" sheetId="6" r:id="rId3"/>
  </sheets>
  <definedNames>
    <definedName name="ExternalData_1" localSheetId="0" hidden="1">Data!$A$1:$I$559</definedName>
    <definedName name="NativeTimeline_Date">#N/A</definedName>
    <definedName name="Slicer_Account">#N/A</definedName>
    <definedName name="Slicer_Category">#N/A</definedName>
    <definedName name="Slicer_Category_Typ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B20" i="1"/>
  <c r="B21" i="1"/>
  <c r="B22" i="1"/>
  <c r="B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42E21-0983-44BC-889C-EC61B6C45903}"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<sst xmlns="http://schemas.openxmlformats.org/spreadsheetml/2006/main" count="2960" uniqueCount="98">
  <si>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</si>
  <si>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</si>
  <si>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</si>
  <si>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</si>
  <si>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</si>
  <si>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</si>
  <si>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</si>
  <si>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</si>
  <si>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</si>
  <si>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</si>
  <si>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</si>
  <si>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</si>
  <si>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</si>
  <si>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</si>
  <si>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</si>
  <si>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</si>
  <si>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</si>
  <si>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</si>
  <si>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</si>
  <si>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</si>
  <si>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</si>
  <si>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</si>
  <si>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</si>
  <si>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</si>
  <si>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</si>
  <si>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</si>
  <si>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</si>
  <si>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</si>
  <si>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</si>
  <si>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</si>
  <si>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</si>
  <si>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</si>
  <si>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</si>
  <si>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</si>
  <si>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</si>
  <si>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</si>
  <si>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</si>
  <si>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</si>
  <si>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</si>
  <si>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</si>
  <si>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</si>
  <si>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</si>
  <si>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</si>
  <si>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</si>
  <si>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</si>
  <si>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</si>
  <si>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</si>
  <si>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</si>
  <si>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</si>
  <si>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</si>
  <si>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</si>
  <si>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</si>
  <si>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</si>
  <si>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</si>
  <si>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</si>
  <si>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</si>
  <si>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</si>
  <si>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</si>
  <si>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</si>
  <si>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</si>
  <si>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</si>
  <si>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</si>
  <si>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</si>
  <si>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Month No</t>
  </si>
  <si>
    <t>Row Labels</t>
  </si>
  <si>
    <t>Grand Total</t>
  </si>
  <si>
    <t>Sum of Expense Amoount</t>
  </si>
  <si>
    <t>Jan</t>
  </si>
  <si>
    <t>Feb</t>
  </si>
  <si>
    <t>Mar</t>
  </si>
  <si>
    <t>Apr</t>
  </si>
  <si>
    <t>May</t>
  </si>
  <si>
    <t>Jun</t>
  </si>
  <si>
    <t>Jul</t>
  </si>
  <si>
    <t>Aug</t>
  </si>
  <si>
    <t>Sep</t>
  </si>
  <si>
    <t>Oct</t>
  </si>
  <si>
    <t>Nov</t>
  </si>
  <si>
    <t>Dec</t>
  </si>
  <si>
    <t>Amount of Income</t>
  </si>
  <si>
    <t>Amoount of Expense</t>
  </si>
  <si>
    <t>Net Cash Flow</t>
  </si>
  <si>
    <t>Column Labels</t>
  </si>
  <si>
    <t>Sum of Amount</t>
  </si>
  <si>
    <t>Count of Sub-category</t>
  </si>
  <si>
    <t>Avg of Expense</t>
  </si>
  <si>
    <t>Monthly Income VS Expense</t>
  </si>
  <si>
    <t>Monthly Expense Composition</t>
  </si>
  <si>
    <t>Account Analysis</t>
  </si>
  <si>
    <t>Top Merchants</t>
  </si>
  <si>
    <t>Transaction Frequency</t>
  </si>
  <si>
    <t>Average Transaction Amount</t>
  </si>
  <si>
    <t>Expenses By Category</t>
  </si>
  <si>
    <t>Expenses By Sub-category</t>
  </si>
  <si>
    <t>Total Income</t>
  </si>
  <si>
    <t>Total Expense</t>
  </si>
  <si>
    <t>Cash Flow Rate</t>
  </si>
  <si>
    <t>Monthly Net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</si>
</sst>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K"/>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Display"/>
      <family val="2"/>
      <scheme val="major"/>
    </font>
  </fonts>
  <fills count="4">
    <fill>
      <patternFill patternType="none"/>
    </fill>
    <fill>
      <patternFill patternType="gray125"/>
    </fill>
    <fill>
      <patternFill patternType="solid">
        <fgColor theme="7"/>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2" fillId="0" borderId="0" xfId="0" applyFont="1" applyAlignment="1">
      <alignment vertical="center"/>
    </xf>
    <xf numFmtId="0" fontId="0" fillId="0" borderId="1" xfId="0" applyBorder="1"/>
    <xf numFmtId="10" fontId="0" fillId="0" borderId="1" xfId="1" applyNumberFormat="1" applyFont="1" applyBorder="1"/>
    <xf numFmtId="0" fontId="0" fillId="3" borderId="0" xfId="0" applyFill="1"/>
    <xf numFmtId="0" fontId="2" fillId="3" borderId="0" xfId="0" applyFont="1" applyFill="1" applyAlignment="1">
      <alignment vertical="center"/>
    </xf>
    <xf numFmtId="0" fontId="3" fillId="3" borderId="0" xfId="0" applyFont="1" applyFill="1" applyAlignment="1">
      <alignment vertical="center"/>
    </xf>
    <xf numFmtId="0" fontId="0" fillId="3" borderId="0" xfId="0" applyFill="1" applyAlignment="1">
      <alignment vertical="center"/>
    </xf>
    <xf numFmtId="0" fontId="3" fillId="3" borderId="0" xfId="0" applyFont="1" applyFill="1"/>
    <xf numFmtId="0" fontId="0" fillId="3" borderId="1" xfId="0" applyFill="1" applyBorder="1" applyAlignment="1">
      <alignment horizontal="left"/>
    </xf>
    <xf numFmtId="0" fontId="0" fillId="0" borderId="0" xfId="0" applyNumberFormat="1"/>
  </cellXfs>
  <cellStyles count="2">
    <cellStyle name="Normal" xfId="0" builtinId="0"/>
    <cellStyle name="Percent" xfId="1" builtinId="5"/>
  </cellStyles>
  <dxfs count="79">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164" formatCode="&quot;$&quot;0.0,\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CBD5E1"/>
      <color rgb="FFFEFE8C"/>
      <color rgb="FF2E9B59"/>
      <color rgb="FFF0F4F8"/>
      <color rgb="FFF8FAFC"/>
      <color rgb="FF1565A8"/>
      <color rgb="FFF26B38"/>
      <color rgb="FFD9A21B"/>
      <color rgb="FF172B3A"/>
      <color rgb="FFF4F8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Expenses Dashboard Project.xlsx]Pivot!PivotTable2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Income VS Expense By Month</a:t>
            </a:r>
            <a:endParaRPr lang="en-US"/>
          </a:p>
        </c:rich>
      </c:tx>
      <c:layout>
        <c:manualLayout>
          <c:xMode val="edge"/>
          <c:yMode val="edge"/>
          <c:x val="6.8722952526600087E-2"/>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4"/>
            </a:solidFill>
            <a:round/>
          </a:ln>
          <a:effectLst/>
        </c:spPr>
        <c:marker>
          <c:symbol val="diamond"/>
          <c:size val="6"/>
          <c:spPr>
            <a:solidFill>
              <a:schemeClr val="accent4">
                <a:shade val="76000"/>
              </a:schemeClr>
            </a:solidFill>
            <a:ln w="952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4"/>
            </a:solidFill>
            <a:round/>
          </a:ln>
          <a:effectLst/>
        </c:spPr>
        <c:marker>
          <c:symbol val="square"/>
          <c:size val="6"/>
          <c:spPr>
            <a:solidFill>
              <a:schemeClr val="accent4">
                <a:tint val="77000"/>
              </a:schemeClr>
            </a:solidFill>
            <a:ln w="952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43183341073342E-2"/>
          <c:y val="0.17757637873677315"/>
          <c:w val="0.95117588362579775"/>
          <c:h val="0.66872826466682334"/>
        </c:manualLayout>
      </c:layout>
      <c:lineChart>
        <c:grouping val="standard"/>
        <c:varyColors val="0"/>
        <c:ser>
          <c:idx val="0"/>
          <c:order val="0"/>
          <c:tx>
            <c:strRef>
              <c:f>Pivot!$B$4</c:f>
              <c:strCache>
                <c:ptCount val="1"/>
                <c:pt idx="0">
                  <c:v>Income</c:v>
                </c:pt>
              </c:strCache>
            </c:strRef>
          </c:tx>
          <c:spPr>
            <a:ln w="22225" cap="rnd">
              <a:solidFill>
                <a:schemeClr val="accent4">
                  <a:shade val="76000"/>
                </a:schemeClr>
              </a:solidFill>
              <a:round/>
            </a:ln>
            <a:effectLst/>
          </c:spPr>
          <c:marker>
            <c:symbol val="diamond"/>
            <c:size val="6"/>
            <c:spPr>
              <a:solidFill>
                <a:schemeClr val="accent4">
                  <a:shade val="76000"/>
                </a:schemeClr>
              </a:solidFill>
              <a:ln w="9525">
                <a:solidFill>
                  <a:schemeClr val="accent4">
                    <a:shade val="76000"/>
                  </a:schemeClr>
                </a:solidFill>
                <a:round/>
              </a:ln>
              <a:effectLst/>
            </c:spPr>
          </c:marker>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Pivot!$B$5:$B$17</c:f>
              <c:numCache>
                <c:formatCode>"$"0.0,\K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smooth val="0"/>
          <c:extLst>
            <c:ext xmlns:c16="http://schemas.microsoft.com/office/drawing/2014/chart" uri="{C3380CC4-5D6E-409C-BE32-E72D297353CC}">
              <c16:uniqueId val="{00000003-0163-4622-9FD9-D79B94713496}"/>
            </c:ext>
          </c:extLst>
        </c:ser>
        <c:ser>
          <c:idx val="1"/>
          <c:order val="1"/>
          <c:tx>
            <c:strRef>
              <c:f>Pivot!$C$4</c:f>
              <c:strCache>
                <c:ptCount val="1"/>
                <c:pt idx="0">
                  <c:v>Expense</c:v>
                </c:pt>
              </c:strCache>
            </c:strRef>
          </c:tx>
          <c:spPr>
            <a:ln w="22225" cap="rnd">
              <a:solidFill>
                <a:schemeClr val="accent4">
                  <a:tint val="77000"/>
                </a:schemeClr>
              </a:solidFill>
              <a:round/>
            </a:ln>
            <a:effectLst/>
          </c:spPr>
          <c:marker>
            <c:symbol val="square"/>
            <c:size val="6"/>
            <c:spPr>
              <a:solidFill>
                <a:schemeClr val="accent4">
                  <a:tint val="77000"/>
                </a:schemeClr>
              </a:solidFill>
              <a:ln w="9525">
                <a:solidFill>
                  <a:schemeClr val="accent4">
                    <a:tint val="77000"/>
                  </a:schemeClr>
                </a:solidFill>
                <a:round/>
              </a:ln>
              <a:effectLst/>
            </c:spPr>
          </c:marker>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"$"0.0,\K</c:formatCode>
                <c:ptCount val="12"/>
                <c:pt idx="0">
                  <c:v>2948</c:v>
                </c:pt>
                <c:pt idx="1">
                  <c:v>2934.6000000000004</c:v>
                </c:pt>
                <c:pt idx="2">
                  <c:v>3079.7</c:v>
                </c:pt>
                <c:pt idx="3">
                  <c:v>3068</c:v>
                </c:pt>
                <c:pt idx="4">
                  <c:v>3146.1</c:v>
                </c:pt>
                <c:pt idx="5">
                  <c:v>3030.7</c:v>
                </c:pt>
                <c:pt idx="6">
                  <c:v>3095</c:v>
                </c:pt>
                <c:pt idx="7">
                  <c:v>2977.0999999999995</c:v>
                </c:pt>
                <c:pt idx="8">
                  <c:v>3112.1</c:v>
                </c:pt>
                <c:pt idx="9">
                  <c:v>3123.7</c:v>
                </c:pt>
                <c:pt idx="10">
                  <c:v>2867</c:v>
                </c:pt>
                <c:pt idx="11">
                  <c:v>1913</c:v>
                </c:pt>
              </c:numCache>
            </c:numRef>
          </c:val>
          <c:smooth val="0"/>
          <c:extLst>
            <c:ext xmlns:c16="http://schemas.microsoft.com/office/drawing/2014/chart" uri="{C3380CC4-5D6E-409C-BE32-E72D297353CC}">
              <c16:uniqueId val="{00000004-0163-4622-9FD9-D79B94713496}"/>
            </c:ext>
          </c:extLst>
        </c:ser>
        <c:dLbls>
          <c:showLegendKey val="0"/>
          <c:showVal val="0"/>
          <c:showCatName val="0"/>
          <c:showSerName val="0"/>
          <c:showPercent val="0"/>
          <c:showBubbleSize val="0"/>
        </c:dLbls>
        <c:marker val="1"/>
        <c:smooth val="0"/>
        <c:axId val="1805853503"/>
        <c:axId val="391528144"/>
      </c:lineChart>
      <c:catAx>
        <c:axId val="180585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391528144"/>
        <c:crosses val="autoZero"/>
        <c:auto val="0"/>
        <c:lblAlgn val="ctr"/>
        <c:lblOffset val="100"/>
        <c:noMultiLvlLbl val="0"/>
      </c:catAx>
      <c:valAx>
        <c:axId val="391528144"/>
        <c:scaling>
          <c:orientation val="minMax"/>
        </c:scaling>
        <c:delete val="0"/>
        <c:axPos val="l"/>
        <c:numFmt formatCode="&quot;$&quot;0.0,\K"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5853503"/>
        <c:crosses val="autoZero"/>
        <c:crossBetween val="between"/>
      </c:valAx>
      <c:spPr>
        <a:noFill/>
        <a:ln>
          <a:noFill/>
        </a:ln>
        <a:effectLst/>
      </c:spPr>
    </c:plotArea>
    <c:legend>
      <c:legendPos val="r"/>
      <c:layout>
        <c:manualLayout>
          <c:xMode val="edge"/>
          <c:yMode val="edge"/>
          <c:x val="0.62955394038980905"/>
          <c:y val="2.219636264486672E-2"/>
          <c:w val="0.15851527673835941"/>
          <c:h val="0.260871470461857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Income VS Expense</a:t>
            </a:r>
          </a:p>
        </c:rich>
      </c:tx>
      <c:layout>
        <c:manualLayout>
          <c:xMode val="edge"/>
          <c:yMode val="edge"/>
          <c:x val="1.0046691531979556E-2"/>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432426209881661"/>
          <c:y val="0.14485714886497109"/>
          <c:w val="0.48086383938849747"/>
          <c:h val="0.78424086584820019"/>
        </c:manualLayout>
      </c:layout>
      <c:pieChart>
        <c:varyColors val="1"/>
        <c:ser>
          <c:idx val="0"/>
          <c:order val="0"/>
          <c:dPt>
            <c:idx val="0"/>
            <c:bubble3D val="0"/>
            <c:spPr>
              <a:solidFill>
                <a:schemeClr val="accent4">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CC1-4549-BDD0-541918CE7787}"/>
              </c:ext>
            </c:extLst>
          </c:dPt>
          <c:dPt>
            <c:idx val="1"/>
            <c:bubble3D val="0"/>
            <c:spPr>
              <a:solidFill>
                <a:schemeClr val="accent4">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CC1-4549-BDD0-541918CE778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9CC1-4549-BDD0-541918CE778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76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9CC1-4549-BDD0-541918CE7787}"/>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Pivot!$A$20:$A$21</c:f>
              <c:strCache>
                <c:ptCount val="2"/>
                <c:pt idx="0">
                  <c:v>Total Income</c:v>
                </c:pt>
                <c:pt idx="1">
                  <c:v>Total Expense</c:v>
                </c:pt>
              </c:strCache>
            </c:strRef>
          </c:cat>
          <c:val>
            <c:numRef>
              <c:f>Pivot!$B$20:$B$21</c:f>
              <c:numCache>
                <c:formatCode>General</c:formatCode>
                <c:ptCount val="2"/>
                <c:pt idx="0">
                  <c:v>48000</c:v>
                </c:pt>
                <c:pt idx="1">
                  <c:v>35295</c:v>
                </c:pt>
              </c:numCache>
            </c:numRef>
          </c:val>
          <c:extLst>
            <c:ext xmlns:c16="http://schemas.microsoft.com/office/drawing/2014/chart" uri="{C3380CC4-5D6E-409C-BE32-E72D297353CC}">
              <c16:uniqueId val="{00000004-9CC1-4549-BDD0-541918CE7787}"/>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Dashboard Project.xlsx]Pivot!PivotTable5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Expense By Category</a:t>
            </a:r>
          </a:p>
        </c:rich>
      </c:tx>
      <c:layout>
        <c:manualLayout>
          <c:xMode val="edge"/>
          <c:yMode val="edge"/>
          <c:x val="0.12088423939536334"/>
          <c:y val="2.20854956731428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16964924838944"/>
          <c:y val="0.14056022408963589"/>
          <c:w val="0.61723439115565104"/>
          <c:h val="0.72992567105582395"/>
        </c:manualLayout>
      </c:layout>
      <c:barChart>
        <c:barDir val="bar"/>
        <c:grouping val="clustered"/>
        <c:varyColors val="0"/>
        <c:ser>
          <c:idx val="0"/>
          <c:order val="0"/>
          <c:tx>
            <c:strRef>
              <c:f>Pivot!$I$4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Pivot!$H$5:$H$12</c:f>
              <c:strCache>
                <c:ptCount val="7"/>
                <c:pt idx="0">
                  <c:v>Living Expenses</c:v>
                </c:pt>
                <c:pt idx="1">
                  <c:v>Discretionary</c:v>
                </c:pt>
                <c:pt idx="2">
                  <c:v>Transport</c:v>
                </c:pt>
                <c:pt idx="3">
                  <c:v>Dining Out</c:v>
                </c:pt>
                <c:pt idx="4">
                  <c:v>Charity</c:v>
                </c:pt>
                <c:pt idx="5">
                  <c:v>Medical</c:v>
                </c:pt>
                <c:pt idx="6">
                  <c:v>Salary</c:v>
                </c:pt>
              </c:strCache>
            </c:strRef>
          </c:cat>
          <c:val>
            <c:numRef>
              <c:f>Pivot!$I$5:$I$12</c:f>
              <c:numCache>
                <c:formatCode>"$"0.0,\K</c:formatCode>
                <c:ptCount val="7"/>
                <c:pt idx="0">
                  <c:v>19441.800000000003</c:v>
                </c:pt>
                <c:pt idx="1">
                  <c:v>7916.6000000000013</c:v>
                </c:pt>
                <c:pt idx="2">
                  <c:v>4244.6999999999989</c:v>
                </c:pt>
                <c:pt idx="3">
                  <c:v>2817.8999999999992</c:v>
                </c:pt>
                <c:pt idx="4">
                  <c:v>495</c:v>
                </c:pt>
                <c:pt idx="5">
                  <c:v>379</c:v>
                </c:pt>
                <c:pt idx="6">
                  <c:v>0</c:v>
                </c:pt>
              </c:numCache>
            </c:numRef>
          </c:val>
          <c:extLst>
            <c:ext xmlns:c16="http://schemas.microsoft.com/office/drawing/2014/chart" uri="{C3380CC4-5D6E-409C-BE32-E72D297353CC}">
              <c16:uniqueId val="{00000002-EFAE-4170-9DAE-CE2C687E2F8C}"/>
            </c:ext>
          </c:extLst>
        </c:ser>
        <c:dLbls>
          <c:showLegendKey val="0"/>
          <c:showVal val="0"/>
          <c:showCatName val="0"/>
          <c:showSerName val="0"/>
          <c:showPercent val="0"/>
          <c:showBubbleSize val="0"/>
        </c:dLbls>
        <c:gapWidth val="100"/>
        <c:axId val="400719072"/>
        <c:axId val="191271631"/>
      </c:barChart>
      <c:catAx>
        <c:axId val="4007190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271631"/>
        <c:crosses val="autoZero"/>
        <c:auto val="1"/>
        <c:lblAlgn val="ctr"/>
        <c:lblOffset val="100"/>
        <c:noMultiLvlLbl val="0"/>
      </c:catAx>
      <c:valAx>
        <c:axId val="191271631"/>
        <c:scaling>
          <c:orientation val="minMax"/>
          <c:max val="20000"/>
        </c:scaling>
        <c:delete val="0"/>
        <c:axPos val="b"/>
        <c:majorGridlines>
          <c:spPr>
            <a:ln w="9525" cap="flat" cmpd="sng" algn="ctr">
              <a:solidFill>
                <a:schemeClr val="tx2">
                  <a:lumMod val="15000"/>
                  <a:lumOff val="85000"/>
                </a:schemeClr>
              </a:solidFill>
              <a:round/>
            </a:ln>
            <a:effectLst/>
          </c:spPr>
        </c:majorGridlines>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071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Dashboard Project.xlsx]Pivot!PivotTable6</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Expense By Sub-category</a:t>
            </a:r>
          </a:p>
        </c:rich>
      </c:tx>
      <c:layout>
        <c:manualLayout>
          <c:xMode val="edge"/>
          <c:yMode val="edge"/>
          <c:x val="7.4270806278256052E-2"/>
          <c:y val="3.4663015476560227E-3"/>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165612001452"/>
          <c:y val="0.17677331604593818"/>
          <c:w val="0.80945780379820442"/>
          <c:h val="0.50406203046903397"/>
        </c:manualLayout>
      </c:layout>
      <c:barChart>
        <c:barDir val="col"/>
        <c:grouping val="clustered"/>
        <c:varyColors val="0"/>
        <c:ser>
          <c:idx val="0"/>
          <c:order val="0"/>
          <c:tx>
            <c:strRef>
              <c:f>Pivot!$L$4</c:f>
              <c:strCache>
                <c:ptCount val="1"/>
                <c:pt idx="0">
                  <c:v>Total</c:v>
                </c:pt>
              </c:strCache>
            </c:strRef>
          </c:tx>
          <c:spPr>
            <a:noFill/>
            <a:ln w="25400" cap="flat" cmpd="sng" algn="ctr">
              <a:solidFill>
                <a:schemeClr val="accent1"/>
              </a:solidFill>
              <a:miter lim="800000"/>
            </a:ln>
            <a:effectLst/>
          </c:spPr>
          <c:invertIfNegative val="0"/>
          <c:cat>
            <c:strRef>
              <c:f>Pivot!$K$5:$K$21</c:f>
              <c:strCache>
                <c:ptCount val="16"/>
                <c:pt idx="0">
                  <c:v>Rent</c:v>
                </c:pt>
                <c:pt idx="1">
                  <c:v>Groceries</c:v>
                </c:pt>
                <c:pt idx="2">
                  <c:v>Clothes</c:v>
                </c:pt>
                <c:pt idx="3">
                  <c:v>Entertainment</c:v>
                </c:pt>
                <c:pt idx="4">
                  <c:v>MV Fuel</c:v>
                </c:pt>
                <c:pt idx="5">
                  <c:v>Restaurant</c:v>
                </c:pt>
                <c:pt idx="6">
                  <c:v>Coffee</c:v>
                </c:pt>
                <c:pt idx="7">
                  <c:v>Taxi</c:v>
                </c:pt>
                <c:pt idx="8">
                  <c:v>Gas/Electrics</c:v>
                </c:pt>
                <c:pt idx="9">
                  <c:v>Gifts</c:v>
                </c:pt>
                <c:pt idx="10">
                  <c:v>Donation</c:v>
                </c:pt>
                <c:pt idx="11">
                  <c:v>Phone</c:v>
                </c:pt>
                <c:pt idx="12">
                  <c:v>Furnishings</c:v>
                </c:pt>
                <c:pt idx="13">
                  <c:v>Doctor</c:v>
                </c:pt>
                <c:pt idx="14">
                  <c:v>Gym</c:v>
                </c:pt>
                <c:pt idx="15">
                  <c:v>Salary</c:v>
                </c:pt>
              </c:strCache>
            </c:strRef>
          </c:cat>
          <c:val>
            <c:numRef>
              <c:f>Pivot!$L$5:$L$21</c:f>
              <c:numCache>
                <c:formatCode>"$"0.0,\K</c:formatCode>
                <c:ptCount val="16"/>
                <c:pt idx="0">
                  <c:v>10854</c:v>
                </c:pt>
                <c:pt idx="1">
                  <c:v>7464.0999999999995</c:v>
                </c:pt>
                <c:pt idx="2">
                  <c:v>4690.6000000000004</c:v>
                </c:pt>
                <c:pt idx="3">
                  <c:v>3754.6000000000013</c:v>
                </c:pt>
                <c:pt idx="4">
                  <c:v>1746.5</c:v>
                </c:pt>
                <c:pt idx="5">
                  <c:v>1527.8999999999999</c:v>
                </c:pt>
                <c:pt idx="6">
                  <c:v>1290</c:v>
                </c:pt>
                <c:pt idx="7">
                  <c:v>698.20000000000016</c:v>
                </c:pt>
                <c:pt idx="8">
                  <c:v>643.70000000000005</c:v>
                </c:pt>
                <c:pt idx="9">
                  <c:v>495.00000000000006</c:v>
                </c:pt>
                <c:pt idx="10">
                  <c:v>495</c:v>
                </c:pt>
                <c:pt idx="11">
                  <c:v>480</c:v>
                </c:pt>
                <c:pt idx="12">
                  <c:v>416.4</c:v>
                </c:pt>
                <c:pt idx="13">
                  <c:v>379</c:v>
                </c:pt>
                <c:pt idx="14">
                  <c:v>360</c:v>
                </c:pt>
                <c:pt idx="15">
                  <c:v>0</c:v>
                </c:pt>
              </c:numCache>
            </c:numRef>
          </c:val>
          <c:extLst>
            <c:ext xmlns:c16="http://schemas.microsoft.com/office/drawing/2014/chart" uri="{C3380CC4-5D6E-409C-BE32-E72D297353CC}">
              <c16:uniqueId val="{00000002-3CB5-4815-B06C-9DFF2F4E9BDA}"/>
            </c:ext>
          </c:extLst>
        </c:ser>
        <c:dLbls>
          <c:showLegendKey val="0"/>
          <c:showVal val="0"/>
          <c:showCatName val="0"/>
          <c:showSerName val="0"/>
          <c:showPercent val="0"/>
          <c:showBubbleSize val="0"/>
        </c:dLbls>
        <c:gapWidth val="164"/>
        <c:overlap val="-35"/>
        <c:axId val="87231968"/>
        <c:axId val="391579984"/>
      </c:barChart>
      <c:catAx>
        <c:axId val="8723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91579984"/>
        <c:crosses val="autoZero"/>
        <c:auto val="1"/>
        <c:lblAlgn val="ctr"/>
        <c:lblOffset val="100"/>
        <c:noMultiLvlLbl val="0"/>
      </c:catAx>
      <c:valAx>
        <c:axId val="391579984"/>
        <c:scaling>
          <c:orientation val="minMax"/>
        </c:scaling>
        <c:delete val="0"/>
        <c:axPos val="l"/>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8723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Dashboard Project.xlsx]Pivot!PivotTable9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Merchants</a:t>
            </a:r>
          </a:p>
        </c:rich>
      </c:tx>
      <c:layout>
        <c:manualLayout>
          <c:xMode val="edge"/>
          <c:yMode val="edge"/>
          <c:x val="2.4740400457297126E-2"/>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82729070408972"/>
          <c:y val="0.11412037037037037"/>
          <c:w val="0.47287025995028886"/>
          <c:h val="0.77885061242344711"/>
        </c:manualLayout>
      </c:layout>
      <c:barChart>
        <c:barDir val="bar"/>
        <c:grouping val="clustered"/>
        <c:varyColors val="0"/>
        <c:ser>
          <c:idx val="0"/>
          <c:order val="0"/>
          <c:tx>
            <c:strRef>
              <c:f>Pivot!$AD$4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Pivot!$AC$5:$AC$15</c:f>
              <c:strCache>
                <c:ptCount val="10"/>
                <c:pt idx="0">
                  <c:v>Estate Mgt.</c:v>
                </c:pt>
                <c:pt idx="1">
                  <c:v>Green's</c:v>
                </c:pt>
                <c:pt idx="2">
                  <c:v>Fashionistas</c:v>
                </c:pt>
                <c:pt idx="3">
                  <c:v>Finance Co.</c:v>
                </c:pt>
                <c:pt idx="4">
                  <c:v>Fuel. Co</c:v>
                </c:pt>
                <c:pt idx="5">
                  <c:v>Ted's Trainers</c:v>
                </c:pt>
                <c:pt idx="6">
                  <c:v>Ground</c:v>
                </c:pt>
                <c:pt idx="7">
                  <c:v>Ticketek</c:v>
                </c:pt>
                <c:pt idx="8">
                  <c:v>Joe's Grill</c:v>
                </c:pt>
                <c:pt idx="9">
                  <c:v>Taxi Co.</c:v>
                </c:pt>
              </c:strCache>
            </c:strRef>
          </c:cat>
          <c:val>
            <c:numRef>
              <c:f>Pivot!$AD$5:$AD$15</c:f>
              <c:numCache>
                <c:formatCode>"$"0.0,\K</c:formatCode>
                <c:ptCount val="10"/>
                <c:pt idx="0">
                  <c:v>10854</c:v>
                </c:pt>
                <c:pt idx="1">
                  <c:v>7464.0999999999995</c:v>
                </c:pt>
                <c:pt idx="2">
                  <c:v>2907.5</c:v>
                </c:pt>
                <c:pt idx="3">
                  <c:v>1800</c:v>
                </c:pt>
                <c:pt idx="4">
                  <c:v>1746.5</c:v>
                </c:pt>
                <c:pt idx="5">
                  <c:v>1293.9000000000001</c:v>
                </c:pt>
                <c:pt idx="6">
                  <c:v>1290</c:v>
                </c:pt>
                <c:pt idx="7">
                  <c:v>722.09999999999991</c:v>
                </c:pt>
                <c:pt idx="8">
                  <c:v>709</c:v>
                </c:pt>
                <c:pt idx="9">
                  <c:v>698.20000000000016</c:v>
                </c:pt>
              </c:numCache>
            </c:numRef>
          </c:val>
          <c:extLst>
            <c:ext xmlns:c16="http://schemas.microsoft.com/office/drawing/2014/chart" uri="{C3380CC4-5D6E-409C-BE32-E72D297353CC}">
              <c16:uniqueId val="{00000002-13A0-4800-A2CB-C4C2671F080F}"/>
            </c:ext>
          </c:extLst>
        </c:ser>
        <c:dLbls>
          <c:showLegendKey val="0"/>
          <c:showVal val="0"/>
          <c:showCatName val="0"/>
          <c:showSerName val="0"/>
          <c:showPercent val="0"/>
          <c:showBubbleSize val="0"/>
        </c:dLbls>
        <c:gapWidth val="100"/>
        <c:axId val="429211024"/>
        <c:axId val="139585839"/>
      </c:barChart>
      <c:catAx>
        <c:axId val="429211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585839"/>
        <c:crosses val="autoZero"/>
        <c:auto val="1"/>
        <c:lblAlgn val="ctr"/>
        <c:lblOffset val="100"/>
        <c:noMultiLvlLbl val="0"/>
      </c:catAx>
      <c:valAx>
        <c:axId val="139585839"/>
        <c:scaling>
          <c:orientation val="minMax"/>
          <c:max val="10000"/>
        </c:scaling>
        <c:delete val="0"/>
        <c:axPos val="b"/>
        <c:majorGridlines>
          <c:spPr>
            <a:ln w="9525" cap="flat" cmpd="sng" algn="ctr">
              <a:solidFill>
                <a:schemeClr val="tx2">
                  <a:lumMod val="15000"/>
                  <a:lumOff val="85000"/>
                </a:schemeClr>
              </a:solidFill>
              <a:round/>
            </a:ln>
            <a:effectLst/>
          </c:spPr>
        </c:majorGridlines>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921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476248</xdr:colOff>
      <xdr:row>1</xdr:row>
      <xdr:rowOff>23812</xdr:rowOff>
    </xdr:from>
    <xdr:to>
      <xdr:col>23</xdr:col>
      <xdr:colOff>0</xdr:colOff>
      <xdr:row>36</xdr:row>
      <xdr:rowOff>178594</xdr:rowOff>
    </xdr:to>
    <xdr:sp macro="" textlink="">
      <xdr:nvSpPr>
        <xdr:cNvPr id="2" name="Rectangle: Rounded Corners 1">
          <a:extLst>
            <a:ext uri="{FF2B5EF4-FFF2-40B4-BE49-F238E27FC236}">
              <a16:creationId xmlns:a16="http://schemas.microsoft.com/office/drawing/2014/main" id="{70E314E0-2A04-404C-48B8-4DE33DCC4D22}"/>
            </a:ext>
          </a:extLst>
        </xdr:cNvPr>
        <xdr:cNvSpPr/>
      </xdr:nvSpPr>
      <xdr:spPr>
        <a:xfrm>
          <a:off x="1690686" y="214312"/>
          <a:ext cx="12275345" cy="6822282"/>
        </a:xfrm>
        <a:prstGeom prst="roundRect">
          <a:avLst>
            <a:gd name="adj" fmla="val 2807"/>
          </a:avLst>
        </a:prstGeom>
        <a:solidFill>
          <a:schemeClr val="bg1"/>
        </a:solidFill>
        <a:ln>
          <a:solidFill>
            <a:srgbClr val="CBD5E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511968</xdr:colOff>
      <xdr:row>1</xdr:row>
      <xdr:rowOff>59532</xdr:rowOff>
    </xdr:from>
    <xdr:to>
      <xdr:col>22</xdr:col>
      <xdr:colOff>559592</xdr:colOff>
      <xdr:row>6</xdr:row>
      <xdr:rowOff>130970</xdr:rowOff>
    </xdr:to>
    <xdr:sp macro="" textlink="">
      <xdr:nvSpPr>
        <xdr:cNvPr id="4" name="Rectangle: Rounded Corners 3">
          <a:extLst>
            <a:ext uri="{FF2B5EF4-FFF2-40B4-BE49-F238E27FC236}">
              <a16:creationId xmlns:a16="http://schemas.microsoft.com/office/drawing/2014/main" id="{74DAA64A-A073-4413-26B7-A2D67782163F}"/>
            </a:ext>
          </a:extLst>
        </xdr:cNvPr>
        <xdr:cNvSpPr/>
      </xdr:nvSpPr>
      <xdr:spPr>
        <a:xfrm>
          <a:off x="1726406" y="250032"/>
          <a:ext cx="12191999" cy="1023938"/>
        </a:xfrm>
        <a:prstGeom prst="roundRect">
          <a:avLst>
            <a:gd name="adj" fmla="val 15825"/>
          </a:avLst>
        </a:prstGeom>
        <a:solidFill>
          <a:srgbClr val="123B5D"/>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571499</xdr:colOff>
      <xdr:row>7</xdr:row>
      <xdr:rowOff>23812</xdr:rowOff>
    </xdr:from>
    <xdr:to>
      <xdr:col>5</xdr:col>
      <xdr:colOff>238125</xdr:colOff>
      <xdr:row>36</xdr:row>
      <xdr:rowOff>71437</xdr:rowOff>
    </xdr:to>
    <xdr:sp macro="" textlink="">
      <xdr:nvSpPr>
        <xdr:cNvPr id="5" name="Rectangle: Rounded Corners 4">
          <a:extLst>
            <a:ext uri="{FF2B5EF4-FFF2-40B4-BE49-F238E27FC236}">
              <a16:creationId xmlns:a16="http://schemas.microsoft.com/office/drawing/2014/main" id="{EA0AD749-A9DF-98D8-EC78-37C7CB55C567}"/>
            </a:ext>
          </a:extLst>
        </xdr:cNvPr>
        <xdr:cNvSpPr/>
      </xdr:nvSpPr>
      <xdr:spPr>
        <a:xfrm>
          <a:off x="1785937" y="1357312"/>
          <a:ext cx="1488282" cy="5572125"/>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297656</xdr:colOff>
      <xdr:row>7</xdr:row>
      <xdr:rowOff>23813</xdr:rowOff>
    </xdr:from>
    <xdr:to>
      <xdr:col>9</xdr:col>
      <xdr:colOff>404813</xdr:colOff>
      <xdr:row>13</xdr:row>
      <xdr:rowOff>142876</xdr:rowOff>
    </xdr:to>
    <xdr:sp macro="" textlink="">
      <xdr:nvSpPr>
        <xdr:cNvPr id="6" name="Rectangle: Rounded Corners 5">
          <a:extLst>
            <a:ext uri="{FF2B5EF4-FFF2-40B4-BE49-F238E27FC236}">
              <a16:creationId xmlns:a16="http://schemas.microsoft.com/office/drawing/2014/main" id="{2C14DBA9-6A12-909C-25E4-E48BFA1C665D}"/>
            </a:ext>
          </a:extLst>
        </xdr:cNvPr>
        <xdr:cNvSpPr/>
      </xdr:nvSpPr>
      <xdr:spPr>
        <a:xfrm>
          <a:off x="3333750" y="1357313"/>
          <a:ext cx="2536032" cy="1262063"/>
        </a:xfrm>
        <a:prstGeom prst="roundRect">
          <a:avLst/>
        </a:prstGeom>
        <a:solidFill>
          <a:schemeClr val="accent3">
            <a:lumMod val="20000"/>
            <a:lumOff val="80000"/>
          </a:schemeClr>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501650</xdr:colOff>
      <xdr:row>7</xdr:row>
      <xdr:rowOff>21432</xdr:rowOff>
    </xdr:from>
    <xdr:to>
      <xdr:col>14</xdr:col>
      <xdr:colOff>1588</xdr:colOff>
      <xdr:row>13</xdr:row>
      <xdr:rowOff>140495</xdr:rowOff>
    </xdr:to>
    <xdr:sp macro="" textlink="">
      <xdr:nvSpPr>
        <xdr:cNvPr id="18" name="Rectangle: Rounded Corners 17">
          <a:extLst>
            <a:ext uri="{FF2B5EF4-FFF2-40B4-BE49-F238E27FC236}">
              <a16:creationId xmlns:a16="http://schemas.microsoft.com/office/drawing/2014/main" id="{2F06317B-AFB9-4707-BB5D-827F344699BE}"/>
            </a:ext>
          </a:extLst>
        </xdr:cNvPr>
        <xdr:cNvSpPr/>
      </xdr:nvSpPr>
      <xdr:spPr>
        <a:xfrm>
          <a:off x="5966619" y="1354932"/>
          <a:ext cx="2536032" cy="1262063"/>
        </a:xfrm>
        <a:prstGeom prst="roundRect">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98425</xdr:colOff>
      <xdr:row>7</xdr:row>
      <xdr:rowOff>30956</xdr:rowOff>
    </xdr:from>
    <xdr:to>
      <xdr:col>18</xdr:col>
      <xdr:colOff>205582</xdr:colOff>
      <xdr:row>13</xdr:row>
      <xdr:rowOff>150019</xdr:rowOff>
    </xdr:to>
    <xdr:sp macro="" textlink="">
      <xdr:nvSpPr>
        <xdr:cNvPr id="21" name="Rectangle: Rounded Corners 20">
          <a:extLst>
            <a:ext uri="{FF2B5EF4-FFF2-40B4-BE49-F238E27FC236}">
              <a16:creationId xmlns:a16="http://schemas.microsoft.com/office/drawing/2014/main" id="{F7B6E9C6-7DAA-41C7-9EA4-4F293EE53AE9}"/>
            </a:ext>
          </a:extLst>
        </xdr:cNvPr>
        <xdr:cNvSpPr/>
      </xdr:nvSpPr>
      <xdr:spPr>
        <a:xfrm>
          <a:off x="8599488" y="1364456"/>
          <a:ext cx="2536032" cy="1262063"/>
        </a:xfrm>
        <a:prstGeom prst="round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314325</xdr:colOff>
      <xdr:row>7</xdr:row>
      <xdr:rowOff>40480</xdr:rowOff>
    </xdr:from>
    <xdr:to>
      <xdr:col>22</xdr:col>
      <xdr:colOff>421482</xdr:colOff>
      <xdr:row>13</xdr:row>
      <xdr:rowOff>159543</xdr:rowOff>
    </xdr:to>
    <xdr:sp macro="" textlink="">
      <xdr:nvSpPr>
        <xdr:cNvPr id="22" name="Rectangle: Rounded Corners 21">
          <a:extLst>
            <a:ext uri="{FF2B5EF4-FFF2-40B4-BE49-F238E27FC236}">
              <a16:creationId xmlns:a16="http://schemas.microsoft.com/office/drawing/2014/main" id="{B1BFF866-8BAA-4719-BD54-41D061C4FF6C}"/>
            </a:ext>
          </a:extLst>
        </xdr:cNvPr>
        <xdr:cNvSpPr/>
      </xdr:nvSpPr>
      <xdr:spPr>
        <a:xfrm>
          <a:off x="11244263" y="1373980"/>
          <a:ext cx="2536032" cy="1262063"/>
        </a:xfrm>
        <a:prstGeom prst="roundRect">
          <a:avLst/>
        </a:prstGeom>
        <a:solidFill>
          <a:srgbClr val="FEFE8C"/>
        </a:solidFill>
        <a:ln>
          <a:solidFill>
            <a:srgbClr val="FEF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547687</xdr:colOff>
      <xdr:row>14</xdr:row>
      <xdr:rowOff>71438</xdr:rowOff>
    </xdr:from>
    <xdr:to>
      <xdr:col>22</xdr:col>
      <xdr:colOff>476248</xdr:colOff>
      <xdr:row>36</xdr:row>
      <xdr:rowOff>83344</xdr:rowOff>
    </xdr:to>
    <xdr:sp macro="" textlink="">
      <xdr:nvSpPr>
        <xdr:cNvPr id="23" name="Rectangle: Rounded Corners 22">
          <a:extLst>
            <a:ext uri="{FF2B5EF4-FFF2-40B4-BE49-F238E27FC236}">
              <a16:creationId xmlns:a16="http://schemas.microsoft.com/office/drawing/2014/main" id="{869CD284-04D6-EFBA-643B-70304EB33D76}"/>
            </a:ext>
          </a:extLst>
        </xdr:cNvPr>
        <xdr:cNvSpPr/>
      </xdr:nvSpPr>
      <xdr:spPr>
        <a:xfrm>
          <a:off x="11477625" y="2738438"/>
          <a:ext cx="2357436" cy="4202906"/>
        </a:xfrm>
        <a:prstGeom prst="roundRect">
          <a:avLst>
            <a:gd name="adj" fmla="val 5432"/>
          </a:avLst>
        </a:prstGeom>
        <a:solidFill>
          <a:srgbClr val="F0F4F8"/>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357188</xdr:colOff>
      <xdr:row>14</xdr:row>
      <xdr:rowOff>59532</xdr:rowOff>
    </xdr:from>
    <xdr:to>
      <xdr:col>10</xdr:col>
      <xdr:colOff>166688</xdr:colOff>
      <xdr:row>23</xdr:row>
      <xdr:rowOff>71438</xdr:rowOff>
    </xdr:to>
    <xdr:sp macro="" textlink="">
      <xdr:nvSpPr>
        <xdr:cNvPr id="25" name="Rectangle: Rounded Corners 24">
          <a:extLst>
            <a:ext uri="{FF2B5EF4-FFF2-40B4-BE49-F238E27FC236}">
              <a16:creationId xmlns:a16="http://schemas.microsoft.com/office/drawing/2014/main" id="{8F1DA1A9-3CE5-424D-7AF1-5601E0257520}"/>
            </a:ext>
          </a:extLst>
        </xdr:cNvPr>
        <xdr:cNvSpPr/>
      </xdr:nvSpPr>
      <xdr:spPr>
        <a:xfrm>
          <a:off x="3393282" y="2726532"/>
          <a:ext cx="2845594" cy="1726406"/>
        </a:xfrm>
        <a:prstGeom prst="roundRect">
          <a:avLst/>
        </a:prstGeom>
        <a:solidFill>
          <a:srgbClr val="F0F4F8"/>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250031</xdr:colOff>
      <xdr:row>14</xdr:row>
      <xdr:rowOff>65485</xdr:rowOff>
    </xdr:from>
    <xdr:to>
      <xdr:col>18</xdr:col>
      <xdr:colOff>464343</xdr:colOff>
      <xdr:row>23</xdr:row>
      <xdr:rowOff>65485</xdr:rowOff>
    </xdr:to>
    <xdr:sp macro="" textlink="">
      <xdr:nvSpPr>
        <xdr:cNvPr id="26" name="Rectangle: Rounded Corners 25">
          <a:extLst>
            <a:ext uri="{FF2B5EF4-FFF2-40B4-BE49-F238E27FC236}">
              <a16:creationId xmlns:a16="http://schemas.microsoft.com/office/drawing/2014/main" id="{38E8E3CA-4B11-43F4-BB42-8A984FC85F70}"/>
            </a:ext>
          </a:extLst>
        </xdr:cNvPr>
        <xdr:cNvSpPr/>
      </xdr:nvSpPr>
      <xdr:spPr>
        <a:xfrm>
          <a:off x="6322219" y="2732485"/>
          <a:ext cx="5072062" cy="1714500"/>
        </a:xfrm>
        <a:prstGeom prst="roundRect">
          <a:avLst>
            <a:gd name="adj" fmla="val 12940"/>
          </a:avLst>
        </a:prstGeom>
        <a:solidFill>
          <a:srgbClr val="F0F4F8"/>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297656</xdr:colOff>
      <xdr:row>24</xdr:row>
      <xdr:rowOff>0</xdr:rowOff>
    </xdr:from>
    <xdr:to>
      <xdr:col>11</xdr:col>
      <xdr:colOff>595312</xdr:colOff>
      <xdr:row>36</xdr:row>
      <xdr:rowOff>71437</xdr:rowOff>
    </xdr:to>
    <xdr:sp macro="" textlink="">
      <xdr:nvSpPr>
        <xdr:cNvPr id="27" name="Rectangle: Rounded Corners 26">
          <a:extLst>
            <a:ext uri="{FF2B5EF4-FFF2-40B4-BE49-F238E27FC236}">
              <a16:creationId xmlns:a16="http://schemas.microsoft.com/office/drawing/2014/main" id="{5CE2ABB5-10AE-4FB1-A452-4496516EE44A}"/>
            </a:ext>
          </a:extLst>
        </xdr:cNvPr>
        <xdr:cNvSpPr/>
      </xdr:nvSpPr>
      <xdr:spPr>
        <a:xfrm>
          <a:off x="3333750" y="4572000"/>
          <a:ext cx="3940968" cy="2357437"/>
        </a:xfrm>
        <a:prstGeom prst="roundRect">
          <a:avLst/>
        </a:prstGeom>
        <a:solidFill>
          <a:srgbClr val="F0F4F8"/>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116682</xdr:colOff>
      <xdr:row>24</xdr:row>
      <xdr:rowOff>5953</xdr:rowOff>
    </xdr:from>
    <xdr:to>
      <xdr:col>18</xdr:col>
      <xdr:colOff>414337</xdr:colOff>
      <xdr:row>36</xdr:row>
      <xdr:rowOff>71437</xdr:rowOff>
    </xdr:to>
    <xdr:sp macro="" textlink="">
      <xdr:nvSpPr>
        <xdr:cNvPr id="36" name="Rectangle: Rounded Corners 35">
          <a:extLst>
            <a:ext uri="{FF2B5EF4-FFF2-40B4-BE49-F238E27FC236}">
              <a16:creationId xmlns:a16="http://schemas.microsoft.com/office/drawing/2014/main" id="{540A2A39-C8E5-497A-8894-ECF2B624D357}"/>
            </a:ext>
          </a:extLst>
        </xdr:cNvPr>
        <xdr:cNvSpPr/>
      </xdr:nvSpPr>
      <xdr:spPr>
        <a:xfrm>
          <a:off x="7403307" y="4577953"/>
          <a:ext cx="3940968" cy="2351484"/>
        </a:xfrm>
        <a:prstGeom prst="roundRect">
          <a:avLst/>
        </a:prstGeom>
        <a:solidFill>
          <a:srgbClr val="F0F4F8"/>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547686</xdr:colOff>
      <xdr:row>1</xdr:row>
      <xdr:rowOff>47624</xdr:rowOff>
    </xdr:from>
    <xdr:to>
      <xdr:col>4</xdr:col>
      <xdr:colOff>380998</xdr:colOff>
      <xdr:row>6</xdr:row>
      <xdr:rowOff>142873</xdr:rowOff>
    </xdr:to>
    <xdr:pic>
      <xdr:nvPicPr>
        <xdr:cNvPr id="39" name="Graphic 38" descr="Wallet outline">
          <a:extLst>
            <a:ext uri="{FF2B5EF4-FFF2-40B4-BE49-F238E27FC236}">
              <a16:creationId xmlns:a16="http://schemas.microsoft.com/office/drawing/2014/main" id="{8212E312-CA3B-3349-CA98-82DD7E9B93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2124" y="238124"/>
          <a:ext cx="1047749" cy="1047749"/>
        </a:xfrm>
        <a:prstGeom prst="rect">
          <a:avLst/>
        </a:prstGeom>
      </xdr:spPr>
    </xdr:pic>
    <xdr:clientData/>
  </xdr:twoCellAnchor>
  <xdr:twoCellAnchor>
    <xdr:from>
      <xdr:col>4</xdr:col>
      <xdr:colOff>309562</xdr:colOff>
      <xdr:row>1</xdr:row>
      <xdr:rowOff>154781</xdr:rowOff>
    </xdr:from>
    <xdr:to>
      <xdr:col>22</xdr:col>
      <xdr:colOff>452437</xdr:colOff>
      <xdr:row>6</xdr:row>
      <xdr:rowOff>59531</xdr:rowOff>
    </xdr:to>
    <xdr:sp macro="" textlink="">
      <xdr:nvSpPr>
        <xdr:cNvPr id="40" name="TextBox 39">
          <a:extLst>
            <a:ext uri="{FF2B5EF4-FFF2-40B4-BE49-F238E27FC236}">
              <a16:creationId xmlns:a16="http://schemas.microsoft.com/office/drawing/2014/main" id="{4C95D8B7-06BA-0B04-EF5A-75422DBA04E2}"/>
            </a:ext>
          </a:extLst>
        </xdr:cNvPr>
        <xdr:cNvSpPr txBox="1"/>
      </xdr:nvSpPr>
      <xdr:spPr>
        <a:xfrm>
          <a:off x="2738437" y="345281"/>
          <a:ext cx="11072813"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600" b="1">
              <a:solidFill>
                <a:srgbClr val="F4F8FA"/>
              </a:solidFill>
              <a:latin typeface="+mj-lt"/>
            </a:rPr>
            <a:t>FINANCE EXPENSES DASHBOARD</a:t>
          </a:r>
        </a:p>
      </xdr:txBody>
    </xdr:sp>
    <xdr:clientData/>
  </xdr:twoCellAnchor>
  <xdr:twoCellAnchor editAs="oneCell">
    <xdr:from>
      <xdr:col>5</xdr:col>
      <xdr:colOff>357188</xdr:colOff>
      <xdr:row>7</xdr:row>
      <xdr:rowOff>130969</xdr:rowOff>
    </xdr:from>
    <xdr:to>
      <xdr:col>7</xdr:col>
      <xdr:colOff>57151</xdr:colOff>
      <xdr:row>12</xdr:row>
      <xdr:rowOff>92869</xdr:rowOff>
    </xdr:to>
    <xdr:pic>
      <xdr:nvPicPr>
        <xdr:cNvPr id="42" name="Graphic 41" descr="Money outline">
          <a:extLst>
            <a:ext uri="{FF2B5EF4-FFF2-40B4-BE49-F238E27FC236}">
              <a16:creationId xmlns:a16="http://schemas.microsoft.com/office/drawing/2014/main" id="{2FF11439-F148-53D5-122F-AA9CE5214E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93282" y="1464469"/>
          <a:ext cx="914400" cy="914400"/>
        </a:xfrm>
        <a:prstGeom prst="rect">
          <a:avLst/>
        </a:prstGeom>
      </xdr:spPr>
    </xdr:pic>
    <xdr:clientData/>
  </xdr:twoCellAnchor>
  <xdr:twoCellAnchor editAs="oneCell">
    <xdr:from>
      <xdr:col>9</xdr:col>
      <xdr:colOff>547687</xdr:colOff>
      <xdr:row>8</xdr:row>
      <xdr:rowOff>11907</xdr:rowOff>
    </xdr:from>
    <xdr:to>
      <xdr:col>11</xdr:col>
      <xdr:colOff>247650</xdr:colOff>
      <xdr:row>12</xdr:row>
      <xdr:rowOff>164307</xdr:rowOff>
    </xdr:to>
    <xdr:pic>
      <xdr:nvPicPr>
        <xdr:cNvPr id="44" name="Graphic 43" descr="Flying Money outline">
          <a:extLst>
            <a:ext uri="{FF2B5EF4-FFF2-40B4-BE49-F238E27FC236}">
              <a16:creationId xmlns:a16="http://schemas.microsoft.com/office/drawing/2014/main" id="{A387BE8B-E9E6-9EA3-515D-B79DDD9E60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12656" y="1535907"/>
          <a:ext cx="914400" cy="914400"/>
        </a:xfrm>
        <a:prstGeom prst="rect">
          <a:avLst/>
        </a:prstGeom>
      </xdr:spPr>
    </xdr:pic>
    <xdr:clientData/>
  </xdr:twoCellAnchor>
  <xdr:twoCellAnchor editAs="oneCell">
    <xdr:from>
      <xdr:col>14</xdr:col>
      <xdr:colOff>95249</xdr:colOff>
      <xdr:row>8</xdr:row>
      <xdr:rowOff>11906</xdr:rowOff>
    </xdr:from>
    <xdr:to>
      <xdr:col>15</xdr:col>
      <xdr:colOff>402431</xdr:colOff>
      <xdr:row>12</xdr:row>
      <xdr:rowOff>164306</xdr:rowOff>
    </xdr:to>
    <xdr:pic>
      <xdr:nvPicPr>
        <xdr:cNvPr id="46" name="Graphic 45" descr="Safe outline">
          <a:extLst>
            <a:ext uri="{FF2B5EF4-FFF2-40B4-BE49-F238E27FC236}">
              <a16:creationId xmlns:a16="http://schemas.microsoft.com/office/drawing/2014/main" id="{57C77508-29C1-AF80-0CBC-CDBC998FC7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96312" y="1535906"/>
          <a:ext cx="914400" cy="914400"/>
        </a:xfrm>
        <a:prstGeom prst="rect">
          <a:avLst/>
        </a:prstGeom>
      </xdr:spPr>
    </xdr:pic>
    <xdr:clientData/>
  </xdr:twoCellAnchor>
  <xdr:twoCellAnchor editAs="oneCell">
    <xdr:from>
      <xdr:col>18</xdr:col>
      <xdr:colOff>309561</xdr:colOff>
      <xdr:row>7</xdr:row>
      <xdr:rowOff>178594</xdr:rowOff>
    </xdr:from>
    <xdr:to>
      <xdr:col>20</xdr:col>
      <xdr:colOff>9524</xdr:colOff>
      <xdr:row>12</xdr:row>
      <xdr:rowOff>140494</xdr:rowOff>
    </xdr:to>
    <xdr:pic>
      <xdr:nvPicPr>
        <xdr:cNvPr id="48" name="Graphic 47" descr="Mortgage outline">
          <a:extLst>
            <a:ext uri="{FF2B5EF4-FFF2-40B4-BE49-F238E27FC236}">
              <a16:creationId xmlns:a16="http://schemas.microsoft.com/office/drawing/2014/main" id="{B270F235-C696-3C3A-52BA-0CC11C58728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239499" y="1512094"/>
          <a:ext cx="914400" cy="914400"/>
        </a:xfrm>
        <a:prstGeom prst="rect">
          <a:avLst/>
        </a:prstGeom>
      </xdr:spPr>
    </xdr:pic>
    <xdr:clientData/>
  </xdr:twoCellAnchor>
  <xdr:twoCellAnchor>
    <xdr:from>
      <xdr:col>7</xdr:col>
      <xdr:colOff>83345</xdr:colOff>
      <xdr:row>7</xdr:row>
      <xdr:rowOff>190499</xdr:rowOff>
    </xdr:from>
    <xdr:to>
      <xdr:col>9</xdr:col>
      <xdr:colOff>166688</xdr:colOff>
      <xdr:row>9</xdr:row>
      <xdr:rowOff>95249</xdr:rowOff>
    </xdr:to>
    <xdr:sp macro="" textlink="">
      <xdr:nvSpPr>
        <xdr:cNvPr id="49" name="TextBox 48">
          <a:extLst>
            <a:ext uri="{FF2B5EF4-FFF2-40B4-BE49-F238E27FC236}">
              <a16:creationId xmlns:a16="http://schemas.microsoft.com/office/drawing/2014/main" id="{51C6CB62-7E21-DFD7-1741-817DFE8E6C4B}"/>
            </a:ext>
          </a:extLst>
        </xdr:cNvPr>
        <xdr:cNvSpPr txBox="1"/>
      </xdr:nvSpPr>
      <xdr:spPr>
        <a:xfrm>
          <a:off x="4333876" y="1523999"/>
          <a:ext cx="129778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Total</a:t>
          </a:r>
          <a:r>
            <a:rPr lang="en-US" sz="1600" b="1" baseline="0"/>
            <a:t> Income</a:t>
          </a:r>
          <a:endParaRPr lang="en-US" sz="1600" b="1"/>
        </a:p>
      </xdr:txBody>
    </xdr:sp>
    <xdr:clientData/>
  </xdr:twoCellAnchor>
  <xdr:twoCellAnchor>
    <xdr:from>
      <xdr:col>11</xdr:col>
      <xdr:colOff>227806</xdr:colOff>
      <xdr:row>7</xdr:row>
      <xdr:rowOff>188120</xdr:rowOff>
    </xdr:from>
    <xdr:to>
      <xdr:col>13</xdr:col>
      <xdr:colOff>380999</xdr:colOff>
      <xdr:row>9</xdr:row>
      <xdr:rowOff>92870</xdr:rowOff>
    </xdr:to>
    <xdr:sp macro="" textlink="">
      <xdr:nvSpPr>
        <xdr:cNvPr id="50" name="TextBox 49">
          <a:extLst>
            <a:ext uri="{FF2B5EF4-FFF2-40B4-BE49-F238E27FC236}">
              <a16:creationId xmlns:a16="http://schemas.microsoft.com/office/drawing/2014/main" id="{FF830747-D89D-45C7-8E56-20376BABA5CF}"/>
            </a:ext>
          </a:extLst>
        </xdr:cNvPr>
        <xdr:cNvSpPr txBox="1"/>
      </xdr:nvSpPr>
      <xdr:spPr>
        <a:xfrm>
          <a:off x="6907212" y="1521620"/>
          <a:ext cx="136763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Total</a:t>
          </a:r>
          <a:r>
            <a:rPr lang="en-US" sz="1600" b="1" baseline="0"/>
            <a:t> Expense</a:t>
          </a:r>
          <a:endParaRPr lang="en-US" sz="1600" b="1"/>
        </a:p>
      </xdr:txBody>
    </xdr:sp>
    <xdr:clientData/>
  </xdr:twoCellAnchor>
  <xdr:twoCellAnchor>
    <xdr:from>
      <xdr:col>15</xdr:col>
      <xdr:colOff>384176</xdr:colOff>
      <xdr:row>8</xdr:row>
      <xdr:rowOff>30957</xdr:rowOff>
    </xdr:from>
    <xdr:to>
      <xdr:col>17</xdr:col>
      <xdr:colOff>571500</xdr:colOff>
      <xdr:row>9</xdr:row>
      <xdr:rowOff>126207</xdr:rowOff>
    </xdr:to>
    <xdr:sp macro="" textlink="">
      <xdr:nvSpPr>
        <xdr:cNvPr id="51" name="TextBox 50">
          <a:extLst>
            <a:ext uri="{FF2B5EF4-FFF2-40B4-BE49-F238E27FC236}">
              <a16:creationId xmlns:a16="http://schemas.microsoft.com/office/drawing/2014/main" id="{04D390C6-3D96-4C96-BD28-4106798F890D}"/>
            </a:ext>
          </a:extLst>
        </xdr:cNvPr>
        <xdr:cNvSpPr txBox="1"/>
      </xdr:nvSpPr>
      <xdr:spPr>
        <a:xfrm>
          <a:off x="9492457" y="1554957"/>
          <a:ext cx="14017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Net</a:t>
          </a:r>
          <a:r>
            <a:rPr lang="en-US" sz="1600" b="1" baseline="0"/>
            <a:t> Cash Flow</a:t>
          </a:r>
          <a:endParaRPr lang="en-US" sz="1600" b="1"/>
        </a:p>
      </xdr:txBody>
    </xdr:sp>
    <xdr:clientData/>
  </xdr:twoCellAnchor>
  <xdr:twoCellAnchor>
    <xdr:from>
      <xdr:col>19</xdr:col>
      <xdr:colOff>540545</xdr:colOff>
      <xdr:row>8</xdr:row>
      <xdr:rowOff>64294</xdr:rowOff>
    </xdr:from>
    <xdr:to>
      <xdr:col>22</xdr:col>
      <xdr:colOff>214311</xdr:colOff>
      <xdr:row>9</xdr:row>
      <xdr:rowOff>159544</xdr:rowOff>
    </xdr:to>
    <xdr:sp macro="" textlink="">
      <xdr:nvSpPr>
        <xdr:cNvPr id="53" name="TextBox 52">
          <a:extLst>
            <a:ext uri="{FF2B5EF4-FFF2-40B4-BE49-F238E27FC236}">
              <a16:creationId xmlns:a16="http://schemas.microsoft.com/office/drawing/2014/main" id="{E3954A5A-B584-4E1C-BC05-62816B7A3C8C}"/>
            </a:ext>
          </a:extLst>
        </xdr:cNvPr>
        <xdr:cNvSpPr txBox="1"/>
      </xdr:nvSpPr>
      <xdr:spPr>
        <a:xfrm>
          <a:off x="12077701" y="1588294"/>
          <a:ext cx="149542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Cash Flow Rate</a:t>
          </a:r>
        </a:p>
      </xdr:txBody>
    </xdr:sp>
    <xdr:clientData/>
  </xdr:twoCellAnchor>
  <xdr:twoCellAnchor>
    <xdr:from>
      <xdr:col>7</xdr:col>
      <xdr:colOff>166687</xdr:colOff>
      <xdr:row>9</xdr:row>
      <xdr:rowOff>166687</xdr:rowOff>
    </xdr:from>
    <xdr:to>
      <xdr:col>9</xdr:col>
      <xdr:colOff>250030</xdr:colOff>
      <xdr:row>11</xdr:row>
      <xdr:rowOff>71437</xdr:rowOff>
    </xdr:to>
    <xdr:sp macro="" textlink="Pivot!B20">
      <xdr:nvSpPr>
        <xdr:cNvPr id="54" name="TextBox 53">
          <a:extLst>
            <a:ext uri="{FF2B5EF4-FFF2-40B4-BE49-F238E27FC236}">
              <a16:creationId xmlns:a16="http://schemas.microsoft.com/office/drawing/2014/main" id="{EF48DCA6-F3AE-4364-883B-C531A7BEBF56}"/>
            </a:ext>
          </a:extLst>
        </xdr:cNvPr>
        <xdr:cNvSpPr txBox="1"/>
      </xdr:nvSpPr>
      <xdr:spPr>
        <a:xfrm>
          <a:off x="4417218" y="1881187"/>
          <a:ext cx="129778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223A318-7767-4937-9575-991E571E3467}" type="TxLink">
            <a:rPr lang="en-US" sz="3200" b="1" i="0" u="none" strike="noStrike">
              <a:solidFill>
                <a:srgbClr val="2E9B59"/>
              </a:solidFill>
              <a:latin typeface="+mj-lt"/>
            </a:rPr>
            <a:pPr/>
            <a:t>48000</a:t>
          </a:fld>
          <a:endParaRPr lang="en-US" sz="2000" b="1">
            <a:solidFill>
              <a:srgbClr val="2E9B59"/>
            </a:solidFill>
            <a:latin typeface="+mj-lt"/>
          </a:endParaRPr>
        </a:p>
      </xdr:txBody>
    </xdr:sp>
    <xdr:clientData/>
  </xdr:twoCellAnchor>
  <xdr:twoCellAnchor>
    <xdr:from>
      <xdr:col>11</xdr:col>
      <xdr:colOff>287338</xdr:colOff>
      <xdr:row>9</xdr:row>
      <xdr:rowOff>176213</xdr:rowOff>
    </xdr:from>
    <xdr:to>
      <xdr:col>13</xdr:col>
      <xdr:colOff>370681</xdr:colOff>
      <xdr:row>11</xdr:row>
      <xdr:rowOff>80963</xdr:rowOff>
    </xdr:to>
    <xdr:sp macro="" textlink="Pivot!B21">
      <xdr:nvSpPr>
        <xdr:cNvPr id="55" name="TextBox 54">
          <a:extLst>
            <a:ext uri="{FF2B5EF4-FFF2-40B4-BE49-F238E27FC236}">
              <a16:creationId xmlns:a16="http://schemas.microsoft.com/office/drawing/2014/main" id="{B45B3C80-1FD8-474C-BB78-3E201BC41DB1}"/>
            </a:ext>
          </a:extLst>
        </xdr:cNvPr>
        <xdr:cNvSpPr txBox="1"/>
      </xdr:nvSpPr>
      <xdr:spPr>
        <a:xfrm>
          <a:off x="6966744" y="1890713"/>
          <a:ext cx="129778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DFE1118-6C79-4EC6-9EC5-5ECC024C4FE7}" type="TxLink">
            <a:rPr lang="en-US" sz="3200" b="1" i="0" u="none" strike="noStrike">
              <a:solidFill>
                <a:srgbClr val="F26B38"/>
              </a:solidFill>
              <a:latin typeface="+mj-lt"/>
            </a:rPr>
            <a:pPr/>
            <a:t>35295</a:t>
          </a:fld>
          <a:endParaRPr lang="en-US" sz="2400" b="1">
            <a:solidFill>
              <a:srgbClr val="F26B38"/>
            </a:solidFill>
            <a:latin typeface="+mj-lt"/>
          </a:endParaRPr>
        </a:p>
      </xdr:txBody>
    </xdr:sp>
    <xdr:clientData/>
  </xdr:twoCellAnchor>
  <xdr:twoCellAnchor>
    <xdr:from>
      <xdr:col>15</xdr:col>
      <xdr:colOff>479427</xdr:colOff>
      <xdr:row>9</xdr:row>
      <xdr:rowOff>173831</xdr:rowOff>
    </xdr:from>
    <xdr:to>
      <xdr:col>17</xdr:col>
      <xdr:colOff>562770</xdr:colOff>
      <xdr:row>11</xdr:row>
      <xdr:rowOff>78581</xdr:rowOff>
    </xdr:to>
    <xdr:sp macro="" textlink="Pivot!B22">
      <xdr:nvSpPr>
        <xdr:cNvPr id="57" name="TextBox 56">
          <a:extLst>
            <a:ext uri="{FF2B5EF4-FFF2-40B4-BE49-F238E27FC236}">
              <a16:creationId xmlns:a16="http://schemas.microsoft.com/office/drawing/2014/main" id="{AC171FAC-34E0-4EFB-838A-98259F4B79D5}"/>
            </a:ext>
          </a:extLst>
        </xdr:cNvPr>
        <xdr:cNvSpPr txBox="1"/>
      </xdr:nvSpPr>
      <xdr:spPr>
        <a:xfrm>
          <a:off x="9587708" y="1888331"/>
          <a:ext cx="129778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7295CAE-324F-44B7-BF44-E2ED004296CE}" type="TxLink">
            <a:rPr lang="en-US" sz="3200" b="1" i="0" u="none" strike="noStrike">
              <a:solidFill>
                <a:srgbClr val="1565A8"/>
              </a:solidFill>
              <a:latin typeface="+mj-lt"/>
            </a:rPr>
            <a:pPr/>
            <a:t>12705</a:t>
          </a:fld>
          <a:endParaRPr lang="en-US" sz="2000" b="1">
            <a:solidFill>
              <a:srgbClr val="1565A8"/>
            </a:solidFill>
            <a:latin typeface="+mj-lt"/>
          </a:endParaRPr>
        </a:p>
      </xdr:txBody>
    </xdr:sp>
    <xdr:clientData/>
  </xdr:twoCellAnchor>
  <xdr:twoCellAnchor>
    <xdr:from>
      <xdr:col>19</xdr:col>
      <xdr:colOff>576263</xdr:colOff>
      <xdr:row>9</xdr:row>
      <xdr:rowOff>123823</xdr:rowOff>
    </xdr:from>
    <xdr:to>
      <xdr:col>22</xdr:col>
      <xdr:colOff>285749</xdr:colOff>
      <xdr:row>11</xdr:row>
      <xdr:rowOff>190499</xdr:rowOff>
    </xdr:to>
    <xdr:sp macro="" textlink="Pivot!B23">
      <xdr:nvSpPr>
        <xdr:cNvPr id="58" name="TextBox 57">
          <a:extLst>
            <a:ext uri="{FF2B5EF4-FFF2-40B4-BE49-F238E27FC236}">
              <a16:creationId xmlns:a16="http://schemas.microsoft.com/office/drawing/2014/main" id="{122FDD29-57A3-4272-9A4C-C61379292EC1}"/>
            </a:ext>
          </a:extLst>
        </xdr:cNvPr>
        <xdr:cNvSpPr txBox="1"/>
      </xdr:nvSpPr>
      <xdr:spPr>
        <a:xfrm>
          <a:off x="12113419" y="1838323"/>
          <a:ext cx="1531143"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1AC2465-AB6C-4F7C-A3FD-C2FE31B2229B}" type="TxLink">
            <a:rPr lang="en-US" sz="3200" b="1" i="0" u="none" strike="noStrike">
              <a:solidFill>
                <a:srgbClr val="D9A21B"/>
              </a:solidFill>
              <a:latin typeface="+mj-lt"/>
            </a:rPr>
            <a:pPr/>
            <a:t>26.47%</a:t>
          </a:fld>
          <a:endParaRPr lang="en-US" sz="2000" b="1">
            <a:solidFill>
              <a:srgbClr val="D9A21B"/>
            </a:solidFill>
            <a:latin typeface="+mj-lt"/>
          </a:endParaRPr>
        </a:p>
      </xdr:txBody>
    </xdr:sp>
    <xdr:clientData/>
  </xdr:twoCellAnchor>
  <xdr:twoCellAnchor>
    <xdr:from>
      <xdr:col>10</xdr:col>
      <xdr:colOff>333375</xdr:colOff>
      <xdr:row>14</xdr:row>
      <xdr:rowOff>119063</xdr:rowOff>
    </xdr:from>
    <xdr:to>
      <xdr:col>18</xdr:col>
      <xdr:colOff>392905</xdr:colOff>
      <xdr:row>23</xdr:row>
      <xdr:rowOff>47625</xdr:rowOff>
    </xdr:to>
    <xdr:graphicFrame macro="">
      <xdr:nvGraphicFramePr>
        <xdr:cNvPr id="59" name="Chart 58">
          <a:extLst>
            <a:ext uri="{FF2B5EF4-FFF2-40B4-BE49-F238E27FC236}">
              <a16:creationId xmlns:a16="http://schemas.microsoft.com/office/drawing/2014/main" id="{97996C5A-FBFB-47F5-A1E1-84FD187C9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440529</xdr:colOff>
      <xdr:row>14</xdr:row>
      <xdr:rowOff>83344</xdr:rowOff>
    </xdr:from>
    <xdr:to>
      <xdr:col>10</xdr:col>
      <xdr:colOff>119060</xdr:colOff>
      <xdr:row>23</xdr:row>
      <xdr:rowOff>80965</xdr:rowOff>
    </xdr:to>
    <xdr:graphicFrame macro="">
      <xdr:nvGraphicFramePr>
        <xdr:cNvPr id="61" name="Chart 60">
          <a:extLst>
            <a:ext uri="{FF2B5EF4-FFF2-40B4-BE49-F238E27FC236}">
              <a16:creationId xmlns:a16="http://schemas.microsoft.com/office/drawing/2014/main" id="{7878E7BF-F357-4DBC-AB06-D0381CFA2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380999</xdr:colOff>
      <xdr:row>24</xdr:row>
      <xdr:rowOff>59531</xdr:rowOff>
    </xdr:from>
    <xdr:to>
      <xdr:col>11</xdr:col>
      <xdr:colOff>428625</xdr:colOff>
      <xdr:row>35</xdr:row>
      <xdr:rowOff>107157</xdr:rowOff>
    </xdr:to>
    <xdr:graphicFrame macro="">
      <xdr:nvGraphicFramePr>
        <xdr:cNvPr id="62" name="Chart 61">
          <a:extLst>
            <a:ext uri="{FF2B5EF4-FFF2-40B4-BE49-F238E27FC236}">
              <a16:creationId xmlns:a16="http://schemas.microsoft.com/office/drawing/2014/main" id="{CAFD4C5F-D885-4DDD-BEEC-6691020E6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188120</xdr:colOff>
      <xdr:row>24</xdr:row>
      <xdr:rowOff>136923</xdr:rowOff>
    </xdr:from>
    <xdr:to>
      <xdr:col>18</xdr:col>
      <xdr:colOff>333375</xdr:colOff>
      <xdr:row>35</xdr:row>
      <xdr:rowOff>130970</xdr:rowOff>
    </xdr:to>
    <xdr:graphicFrame macro="">
      <xdr:nvGraphicFramePr>
        <xdr:cNvPr id="63" name="Chart 62">
          <a:extLst>
            <a:ext uri="{FF2B5EF4-FFF2-40B4-BE49-F238E27FC236}">
              <a16:creationId xmlns:a16="http://schemas.microsoft.com/office/drawing/2014/main" id="{C20CB4C9-58AC-43E5-B43E-C612BBC38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23814</xdr:colOff>
      <xdr:row>14</xdr:row>
      <xdr:rowOff>119062</xdr:rowOff>
    </xdr:from>
    <xdr:to>
      <xdr:col>22</xdr:col>
      <xdr:colOff>476249</xdr:colOff>
      <xdr:row>35</xdr:row>
      <xdr:rowOff>178594</xdr:rowOff>
    </xdr:to>
    <xdr:graphicFrame macro="">
      <xdr:nvGraphicFramePr>
        <xdr:cNvPr id="64" name="Chart 63">
          <a:extLst>
            <a:ext uri="{FF2B5EF4-FFF2-40B4-BE49-F238E27FC236}">
              <a16:creationId xmlns:a16="http://schemas.microsoft.com/office/drawing/2014/main" id="{9038420B-FB4B-4083-A0F8-704F4A003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583405</xdr:colOff>
      <xdr:row>7</xdr:row>
      <xdr:rowOff>59531</xdr:rowOff>
    </xdr:from>
    <xdr:to>
      <xdr:col>5</xdr:col>
      <xdr:colOff>202406</xdr:colOff>
      <xdr:row>10</xdr:row>
      <xdr:rowOff>142875</xdr:rowOff>
    </xdr:to>
    <mc:AlternateContent xmlns:mc="http://schemas.openxmlformats.org/markup-compatibility/2006" xmlns:a14="http://schemas.microsoft.com/office/drawing/2010/main">
      <mc:Choice Requires="a14">
        <xdr:graphicFrame macro="">
          <xdr:nvGraphicFramePr>
            <xdr:cNvPr id="65" name="Account">
              <a:extLst>
                <a:ext uri="{FF2B5EF4-FFF2-40B4-BE49-F238E27FC236}">
                  <a16:creationId xmlns:a16="http://schemas.microsoft.com/office/drawing/2014/main" id="{8EF25ED1-ABA3-4E1A-B0FB-2659E3440C02}"/>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1797843" y="1393031"/>
              <a:ext cx="1381125" cy="654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595312</xdr:colOff>
      <xdr:row>11</xdr:row>
      <xdr:rowOff>1</xdr:rowOff>
    </xdr:from>
    <xdr:to>
      <xdr:col>5</xdr:col>
      <xdr:colOff>190500</xdr:colOff>
      <xdr:row>14</xdr:row>
      <xdr:rowOff>107157</xdr:rowOff>
    </xdr:to>
    <mc:AlternateContent xmlns:mc="http://schemas.openxmlformats.org/markup-compatibility/2006" xmlns:a14="http://schemas.microsoft.com/office/drawing/2010/main">
      <mc:Choice Requires="a14">
        <xdr:graphicFrame macro="">
          <xdr:nvGraphicFramePr>
            <xdr:cNvPr id="67" name="Category Type">
              <a:extLst>
                <a:ext uri="{FF2B5EF4-FFF2-40B4-BE49-F238E27FC236}">
                  <a16:creationId xmlns:a16="http://schemas.microsoft.com/office/drawing/2014/main" id="{6D8BEBCA-1940-4543-BD11-C46BB649E038}"/>
                </a:ext>
              </a:extLst>
            </xdr:cNvPr>
            <xdr:cNvGraphicFramePr/>
          </xdr:nvGraphicFramePr>
          <xdr:xfrm>
            <a:off x="0" y="0"/>
            <a:ext cx="0" cy="0"/>
          </xdr:xfrm>
          <a:graphic>
            <a:graphicData uri="http://schemas.microsoft.com/office/drawing/2010/slicer">
              <sle:slicer xmlns:sle="http://schemas.microsoft.com/office/drawing/2010/slicer" name="Category Type"/>
            </a:graphicData>
          </a:graphic>
        </xdr:graphicFrame>
      </mc:Choice>
      <mc:Fallback xmlns="">
        <xdr:sp macro="" textlink="">
          <xdr:nvSpPr>
            <xdr:cNvPr id="0" name=""/>
            <xdr:cNvSpPr>
              <a:spLocks noTextEdit="1"/>
            </xdr:cNvSpPr>
          </xdr:nvSpPr>
          <xdr:spPr>
            <a:xfrm>
              <a:off x="1809750" y="2095501"/>
              <a:ext cx="1357312" cy="678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607216</xdr:colOff>
      <xdr:row>14</xdr:row>
      <xdr:rowOff>142875</xdr:rowOff>
    </xdr:from>
    <xdr:to>
      <xdr:col>5</xdr:col>
      <xdr:colOff>214312</xdr:colOff>
      <xdr:row>18</xdr:row>
      <xdr:rowOff>35718</xdr:rowOff>
    </xdr:to>
    <mc:AlternateContent xmlns:mc="http://schemas.openxmlformats.org/markup-compatibility/2006" xmlns:a14="http://schemas.microsoft.com/office/drawing/2010/main">
      <mc:Choice Requires="a14">
        <xdr:graphicFrame macro="">
          <xdr:nvGraphicFramePr>
            <xdr:cNvPr id="69" name="Category">
              <a:extLst>
                <a:ext uri="{FF2B5EF4-FFF2-40B4-BE49-F238E27FC236}">
                  <a16:creationId xmlns:a16="http://schemas.microsoft.com/office/drawing/2014/main" id="{D03104E6-C325-4B2C-96B7-8D9DEE7EF4F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21654" y="2809875"/>
              <a:ext cx="1428752" cy="654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595312</xdr:colOff>
      <xdr:row>18</xdr:row>
      <xdr:rowOff>47623</xdr:rowOff>
    </xdr:from>
    <xdr:to>
      <xdr:col>5</xdr:col>
      <xdr:colOff>202406</xdr:colOff>
      <xdr:row>28</xdr:row>
      <xdr:rowOff>71437</xdr:rowOff>
    </xdr:to>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AE97AD32-6781-426A-B130-C352F34675B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809750" y="3476623"/>
              <a:ext cx="1428750" cy="1928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583404</xdr:colOff>
      <xdr:row>28</xdr:row>
      <xdr:rowOff>95249</xdr:rowOff>
    </xdr:from>
    <xdr:to>
      <xdr:col>5</xdr:col>
      <xdr:colOff>214312</xdr:colOff>
      <xdr:row>36</xdr:row>
      <xdr:rowOff>11906</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167BDA58-2BD2-406E-B5EF-17193223BCF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797842" y="5429249"/>
              <a:ext cx="1452564" cy="14406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416720</xdr:colOff>
      <xdr:row>11</xdr:row>
      <xdr:rowOff>130969</xdr:rowOff>
    </xdr:from>
    <xdr:to>
      <xdr:col>9</xdr:col>
      <xdr:colOff>166688</xdr:colOff>
      <xdr:row>12</xdr:row>
      <xdr:rowOff>166687</xdr:rowOff>
    </xdr:to>
    <xdr:sp macro="" textlink="">
      <xdr:nvSpPr>
        <xdr:cNvPr id="9" name="TextBox 8">
          <a:extLst>
            <a:ext uri="{FF2B5EF4-FFF2-40B4-BE49-F238E27FC236}">
              <a16:creationId xmlns:a16="http://schemas.microsoft.com/office/drawing/2014/main" id="{E2465A79-C18C-CA1D-B4B9-072D98E4E9A1}"/>
            </a:ext>
          </a:extLst>
        </xdr:cNvPr>
        <xdr:cNvSpPr txBox="1"/>
      </xdr:nvSpPr>
      <xdr:spPr>
        <a:xfrm>
          <a:off x="4667251" y="2226469"/>
          <a:ext cx="964406"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100% of Total</a:t>
          </a:r>
        </a:p>
      </xdr:txBody>
    </xdr:sp>
    <xdr:clientData/>
  </xdr:twoCellAnchor>
  <xdr:twoCellAnchor>
    <xdr:from>
      <xdr:col>16</xdr:col>
      <xdr:colOff>116682</xdr:colOff>
      <xdr:row>11</xdr:row>
      <xdr:rowOff>128589</xdr:rowOff>
    </xdr:from>
    <xdr:to>
      <xdr:col>18</xdr:col>
      <xdr:colOff>119062</xdr:colOff>
      <xdr:row>12</xdr:row>
      <xdr:rowOff>178595</xdr:rowOff>
    </xdr:to>
    <xdr:sp macro="" textlink="">
      <xdr:nvSpPr>
        <xdr:cNvPr id="11" name="TextBox 10">
          <a:extLst>
            <a:ext uri="{FF2B5EF4-FFF2-40B4-BE49-F238E27FC236}">
              <a16:creationId xmlns:a16="http://schemas.microsoft.com/office/drawing/2014/main" id="{BBCA9496-B5F6-4099-A4FF-8D9F9D46E015}"/>
            </a:ext>
          </a:extLst>
        </xdr:cNvPr>
        <xdr:cNvSpPr txBox="1"/>
      </xdr:nvSpPr>
      <xdr:spPr>
        <a:xfrm>
          <a:off x="9832182" y="2224089"/>
          <a:ext cx="1216818" cy="24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26.47% of Income</a:t>
          </a:r>
        </a:p>
      </xdr:txBody>
    </xdr:sp>
    <xdr:clientData/>
  </xdr:twoCellAnchor>
  <xdr:twoCellAnchor>
    <xdr:from>
      <xdr:col>11</xdr:col>
      <xdr:colOff>459582</xdr:colOff>
      <xdr:row>11</xdr:row>
      <xdr:rowOff>114303</xdr:rowOff>
    </xdr:from>
    <xdr:to>
      <xdr:col>13</xdr:col>
      <xdr:colOff>464343</xdr:colOff>
      <xdr:row>12</xdr:row>
      <xdr:rowOff>166689</xdr:rowOff>
    </xdr:to>
    <xdr:sp macro="" textlink="">
      <xdr:nvSpPr>
        <xdr:cNvPr id="12" name="TextBox 11">
          <a:extLst>
            <a:ext uri="{FF2B5EF4-FFF2-40B4-BE49-F238E27FC236}">
              <a16:creationId xmlns:a16="http://schemas.microsoft.com/office/drawing/2014/main" id="{76E6B39D-DD3C-4C0F-AD85-5563AC61E6F5}"/>
            </a:ext>
          </a:extLst>
        </xdr:cNvPr>
        <xdr:cNvSpPr txBox="1"/>
      </xdr:nvSpPr>
      <xdr:spPr>
        <a:xfrm>
          <a:off x="7138988" y="2209803"/>
          <a:ext cx="1219199" cy="242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73.53% of Income</a:t>
          </a:r>
        </a:p>
      </xdr:txBody>
    </xdr:sp>
    <xdr:clientData/>
  </xdr:twoCellAnchor>
  <xdr:twoCellAnchor>
    <xdr:from>
      <xdr:col>20</xdr:col>
      <xdr:colOff>290512</xdr:colOff>
      <xdr:row>11</xdr:row>
      <xdr:rowOff>159545</xdr:rowOff>
    </xdr:from>
    <xdr:to>
      <xdr:col>22</xdr:col>
      <xdr:colOff>16667</xdr:colOff>
      <xdr:row>13</xdr:row>
      <xdr:rowOff>23813</xdr:rowOff>
    </xdr:to>
    <xdr:sp macro="" textlink="">
      <xdr:nvSpPr>
        <xdr:cNvPr id="14" name="TextBox 13">
          <a:extLst>
            <a:ext uri="{FF2B5EF4-FFF2-40B4-BE49-F238E27FC236}">
              <a16:creationId xmlns:a16="http://schemas.microsoft.com/office/drawing/2014/main" id="{5E3061F8-52A8-4877-9503-FFEE479CBEF0}"/>
            </a:ext>
          </a:extLst>
        </xdr:cNvPr>
        <xdr:cNvSpPr txBox="1"/>
      </xdr:nvSpPr>
      <xdr:spPr>
        <a:xfrm>
          <a:off x="12434887" y="2255045"/>
          <a:ext cx="940593" cy="245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of Income</a:t>
          </a:r>
        </a:p>
      </xdr:txBody>
    </xdr:sp>
    <xdr:clientData/>
  </xdr:twoCellAnchor>
  <xdr:twoCellAnchor editAs="oneCell">
    <xdr:from>
      <xdr:col>7</xdr:col>
      <xdr:colOff>190500</xdr:colOff>
      <xdr:row>11</xdr:row>
      <xdr:rowOff>83344</xdr:rowOff>
    </xdr:from>
    <xdr:to>
      <xdr:col>7</xdr:col>
      <xdr:colOff>583407</xdr:colOff>
      <xdr:row>13</xdr:row>
      <xdr:rowOff>83344</xdr:rowOff>
    </xdr:to>
    <xdr:pic>
      <xdr:nvPicPr>
        <xdr:cNvPr id="30" name="Graphic 29" descr="Arrow: Clockwise curve with solid fill">
          <a:extLst>
            <a:ext uri="{FF2B5EF4-FFF2-40B4-BE49-F238E27FC236}">
              <a16:creationId xmlns:a16="http://schemas.microsoft.com/office/drawing/2014/main" id="{0E6DD92B-0919-BDCF-1674-CB87E288074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441031" y="2178844"/>
          <a:ext cx="392907" cy="381000"/>
        </a:xfrm>
        <a:prstGeom prst="rect">
          <a:avLst/>
        </a:prstGeom>
      </xdr:spPr>
    </xdr:pic>
    <xdr:clientData/>
  </xdr:twoCellAnchor>
  <xdr:twoCellAnchor editAs="oneCell">
    <xdr:from>
      <xdr:col>15</xdr:col>
      <xdr:colOff>465932</xdr:colOff>
      <xdr:row>11</xdr:row>
      <xdr:rowOff>104776</xdr:rowOff>
    </xdr:from>
    <xdr:to>
      <xdr:col>16</xdr:col>
      <xdr:colOff>251620</xdr:colOff>
      <xdr:row>13</xdr:row>
      <xdr:rowOff>104776</xdr:rowOff>
    </xdr:to>
    <xdr:pic>
      <xdr:nvPicPr>
        <xdr:cNvPr id="33" name="Graphic 32" descr="Arrow: Clockwise curve with solid fill">
          <a:extLst>
            <a:ext uri="{FF2B5EF4-FFF2-40B4-BE49-F238E27FC236}">
              <a16:creationId xmlns:a16="http://schemas.microsoft.com/office/drawing/2014/main" id="{189A1C5B-2187-4DAE-B5C3-A285A1AC6B1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574213" y="2200276"/>
          <a:ext cx="392907" cy="381000"/>
        </a:xfrm>
        <a:prstGeom prst="rect">
          <a:avLst/>
        </a:prstGeom>
      </xdr:spPr>
    </xdr:pic>
    <xdr:clientData/>
  </xdr:twoCellAnchor>
  <xdr:twoCellAnchor editAs="oneCell">
    <xdr:from>
      <xdr:col>11</xdr:col>
      <xdr:colOff>215900</xdr:colOff>
      <xdr:row>11</xdr:row>
      <xdr:rowOff>80963</xdr:rowOff>
    </xdr:from>
    <xdr:to>
      <xdr:col>12</xdr:col>
      <xdr:colOff>1588</xdr:colOff>
      <xdr:row>13</xdr:row>
      <xdr:rowOff>80963</xdr:rowOff>
    </xdr:to>
    <xdr:pic>
      <xdr:nvPicPr>
        <xdr:cNvPr id="35" name="Graphic 34" descr="Arrow: Clockwise curve with solid fill">
          <a:extLst>
            <a:ext uri="{FF2B5EF4-FFF2-40B4-BE49-F238E27FC236}">
              <a16:creationId xmlns:a16="http://schemas.microsoft.com/office/drawing/2014/main" id="{DF961818-EF79-4A67-B837-1CEFED0E655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895306" y="2176463"/>
          <a:ext cx="392907" cy="381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OP" refreshedDate="46256.712064699073" createdVersion="8" refreshedVersion="8" minRefreshableVersion="3" recordCount="558" xr:uid="{92749AE2-513E-4E32-B983-0127E547360B}">
  <cacheSource type="worksheet">
    <worksheetSource name="Data"/>
  </cacheSource>
  <cacheFields count="13">
    <cacheField name="Account" numFmtId="0">
      <sharedItems count="2">
        <s v="Checking"/>
        <s v="Credit"/>
      </sharedItems>
    </cacheField>
    <cacheField name="Date" numFmtId="14">
      <sharedItems containsSemiMixedTypes="0" containsNonDate="0" containsDate="1" containsString="0" minDate="2021-01-04T00:00:00" maxDate="2022-01-01T00:00:00" count="329">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3T00:00:00"/>
        <d v="2021-11-04T00:00:00"/>
        <d v="2021-11-06T00:00:00"/>
        <d v="2021-11-07T00:00:00"/>
        <d v="2021-11-08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Description" numFmtId="0">
      <sharedItems count="28">
        <s v="ACME Pty Ltd"/>
        <s v="Ground"/>
        <s v="Estate Mgt."/>
        <s v="Finance Co."/>
        <s v="Green's"/>
        <s v="Elec. Co."/>
        <s v="Fuel. Co"/>
        <s v="Event Cinemas"/>
        <s v="Fashionistas"/>
        <s v="Joe's Grill"/>
        <s v="Taxi Co."/>
        <s v="Muscle Beach"/>
        <s v="Smile Dental"/>
        <s v="Phone Co."/>
        <s v="Sam's Gifts"/>
        <s v="Streaming Co."/>
        <s v="Pizza Pomodoro"/>
        <s v="Golden Arches"/>
        <s v="Worldvision"/>
        <s v="Ted's Trainers"/>
        <s v="Ticketek"/>
        <s v="Global Fashion"/>
        <s v="Village Medical"/>
        <s v="Sports Co."/>
        <s v="Foodary"/>
        <s v="BW Club"/>
        <s v="Home Decorator"/>
        <s v="Fodary"/>
      </sharedItems>
    </cacheField>
    <cacheField name="Debit" numFmtId="0">
      <sharedItems containsSemiMixedTypes="0" containsString="0" containsNumber="1" minValue="0" maxValue="1504"/>
    </cacheField>
    <cacheField name="Credit" numFmtId="0">
      <sharedItems containsSemiMixedTypes="0" containsString="0" containsNumber="1" containsInteger="1" minValue="0" maxValue="4000"/>
    </cacheField>
    <cacheField name="Amount" numFmtId="0">
      <sharedItems containsSemiMixedTypes="0" containsString="0" containsNumber="1" minValue="-927" maxValue="4000" count="191">
        <n v="4000"/>
        <n v="-5"/>
        <n v="-900"/>
        <n v="-150"/>
        <n v="-155"/>
        <n v="-50"/>
        <n v="-77"/>
        <n v="-135"/>
        <n v="-40"/>
        <n v="-98"/>
        <n v="-52"/>
        <n v="-28"/>
        <n v="-30"/>
        <n v="-154"/>
        <n v="-45"/>
        <n v="-32"/>
        <n v="-170"/>
        <n v="-37"/>
        <n v="-12"/>
        <n v="55"/>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 name="Month No" numFmtId="0">
      <sharedItems containsSemiMixedTypes="0" containsString="0" containsNumber="1" containsInteger="1" minValue="1" maxValue="12"/>
    </cacheField>
    <cacheField name="Income Amount" numFmtId="0">
      <sharedItems containsSemiMixedTypes="0" containsString="0" containsNumber="1" containsInteger="1" minValue="0" maxValue="4000"/>
    </cacheField>
    <cacheField name="Expense Amoount" numFmtId="0">
      <sharedItems containsSemiMixedTypes="0" containsString="0" containsNumber="1" minValue="-55" maxValue="927" count="191">
        <n v="0"/>
        <n v="5"/>
        <n v="900"/>
        <n v="150"/>
        <n v="155"/>
        <n v="50"/>
        <n v="77"/>
        <n v="135"/>
        <n v="40"/>
        <n v="98"/>
        <n v="52"/>
        <n v="28"/>
        <n v="30"/>
        <n v="154"/>
        <n v="45"/>
        <n v="32"/>
        <n v="170"/>
        <n v="37"/>
        <n v="12"/>
        <n v="-55"/>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s>
  <extLst>
    <ext xmlns:x14="http://schemas.microsoft.com/office/spreadsheetml/2009/9/main" uri="{725AE2AE-9491-48be-B2B4-4EB974FC3084}">
      <x14:pivotCacheDefinition pivotCacheId="878603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8">
  <r>
    <x v="0"/>
    <x v="0"/>
    <x v="0"/>
    <n v="0"/>
    <n v="4000"/>
    <x v="0"/>
    <x v="0"/>
    <x v="0"/>
    <x v="0"/>
    <x v="0"/>
    <n v="1"/>
    <n v="4000"/>
    <x v="0"/>
  </r>
  <r>
    <x v="1"/>
    <x v="0"/>
    <x v="1"/>
    <n v="5"/>
    <n v="0"/>
    <x v="1"/>
    <x v="1"/>
    <x v="1"/>
    <x v="1"/>
    <x v="0"/>
    <n v="1"/>
    <n v="0"/>
    <x v="1"/>
  </r>
  <r>
    <x v="0"/>
    <x v="1"/>
    <x v="2"/>
    <n v="900"/>
    <n v="0"/>
    <x v="2"/>
    <x v="2"/>
    <x v="2"/>
    <x v="1"/>
    <x v="0"/>
    <n v="1"/>
    <n v="0"/>
    <x v="2"/>
  </r>
  <r>
    <x v="0"/>
    <x v="1"/>
    <x v="3"/>
    <n v="150"/>
    <n v="0"/>
    <x v="3"/>
    <x v="3"/>
    <x v="3"/>
    <x v="1"/>
    <x v="0"/>
    <n v="1"/>
    <n v="0"/>
    <x v="3"/>
  </r>
  <r>
    <x v="1"/>
    <x v="1"/>
    <x v="1"/>
    <n v="5"/>
    <n v="0"/>
    <x v="1"/>
    <x v="1"/>
    <x v="1"/>
    <x v="1"/>
    <x v="0"/>
    <n v="1"/>
    <n v="0"/>
    <x v="1"/>
  </r>
  <r>
    <x v="1"/>
    <x v="2"/>
    <x v="1"/>
    <n v="5"/>
    <n v="0"/>
    <x v="1"/>
    <x v="1"/>
    <x v="1"/>
    <x v="1"/>
    <x v="0"/>
    <n v="1"/>
    <n v="0"/>
    <x v="1"/>
  </r>
  <r>
    <x v="1"/>
    <x v="3"/>
    <x v="1"/>
    <n v="5"/>
    <n v="0"/>
    <x v="1"/>
    <x v="1"/>
    <x v="1"/>
    <x v="1"/>
    <x v="0"/>
    <n v="1"/>
    <n v="0"/>
    <x v="1"/>
  </r>
  <r>
    <x v="1"/>
    <x v="4"/>
    <x v="1"/>
    <n v="5"/>
    <n v="0"/>
    <x v="1"/>
    <x v="1"/>
    <x v="1"/>
    <x v="1"/>
    <x v="0"/>
    <n v="1"/>
    <n v="0"/>
    <x v="1"/>
  </r>
  <r>
    <x v="1"/>
    <x v="4"/>
    <x v="4"/>
    <n v="155"/>
    <n v="0"/>
    <x v="4"/>
    <x v="4"/>
    <x v="2"/>
    <x v="1"/>
    <x v="0"/>
    <n v="1"/>
    <n v="0"/>
    <x v="4"/>
  </r>
  <r>
    <x v="0"/>
    <x v="5"/>
    <x v="5"/>
    <n v="50"/>
    <n v="0"/>
    <x v="5"/>
    <x v="5"/>
    <x v="2"/>
    <x v="1"/>
    <x v="0"/>
    <n v="1"/>
    <n v="0"/>
    <x v="5"/>
  </r>
  <r>
    <x v="1"/>
    <x v="5"/>
    <x v="1"/>
    <n v="5"/>
    <n v="0"/>
    <x v="1"/>
    <x v="1"/>
    <x v="1"/>
    <x v="1"/>
    <x v="0"/>
    <n v="1"/>
    <n v="0"/>
    <x v="1"/>
  </r>
  <r>
    <x v="1"/>
    <x v="6"/>
    <x v="1"/>
    <n v="5"/>
    <n v="0"/>
    <x v="1"/>
    <x v="1"/>
    <x v="1"/>
    <x v="1"/>
    <x v="0"/>
    <n v="1"/>
    <n v="0"/>
    <x v="1"/>
  </r>
  <r>
    <x v="1"/>
    <x v="7"/>
    <x v="6"/>
    <n v="77"/>
    <n v="0"/>
    <x v="6"/>
    <x v="6"/>
    <x v="3"/>
    <x v="1"/>
    <x v="0"/>
    <n v="1"/>
    <n v="0"/>
    <x v="6"/>
  </r>
  <r>
    <x v="1"/>
    <x v="7"/>
    <x v="1"/>
    <n v="5"/>
    <n v="0"/>
    <x v="1"/>
    <x v="1"/>
    <x v="1"/>
    <x v="1"/>
    <x v="0"/>
    <n v="1"/>
    <n v="0"/>
    <x v="1"/>
  </r>
  <r>
    <x v="1"/>
    <x v="8"/>
    <x v="1"/>
    <n v="5"/>
    <n v="0"/>
    <x v="1"/>
    <x v="1"/>
    <x v="1"/>
    <x v="1"/>
    <x v="0"/>
    <n v="1"/>
    <n v="0"/>
    <x v="1"/>
  </r>
  <r>
    <x v="1"/>
    <x v="9"/>
    <x v="4"/>
    <n v="135"/>
    <n v="0"/>
    <x v="7"/>
    <x v="4"/>
    <x v="2"/>
    <x v="1"/>
    <x v="0"/>
    <n v="1"/>
    <n v="0"/>
    <x v="7"/>
  </r>
  <r>
    <x v="1"/>
    <x v="9"/>
    <x v="1"/>
    <n v="5"/>
    <n v="0"/>
    <x v="1"/>
    <x v="1"/>
    <x v="1"/>
    <x v="1"/>
    <x v="0"/>
    <n v="1"/>
    <n v="0"/>
    <x v="1"/>
  </r>
  <r>
    <x v="1"/>
    <x v="10"/>
    <x v="1"/>
    <n v="5"/>
    <n v="0"/>
    <x v="1"/>
    <x v="1"/>
    <x v="1"/>
    <x v="1"/>
    <x v="0"/>
    <n v="1"/>
    <n v="0"/>
    <x v="1"/>
  </r>
  <r>
    <x v="1"/>
    <x v="10"/>
    <x v="7"/>
    <n v="40"/>
    <n v="0"/>
    <x v="8"/>
    <x v="3"/>
    <x v="4"/>
    <x v="1"/>
    <x v="0"/>
    <n v="1"/>
    <n v="0"/>
    <x v="8"/>
  </r>
  <r>
    <x v="1"/>
    <x v="10"/>
    <x v="8"/>
    <n v="98"/>
    <n v="0"/>
    <x v="9"/>
    <x v="7"/>
    <x v="4"/>
    <x v="1"/>
    <x v="0"/>
    <n v="1"/>
    <n v="0"/>
    <x v="9"/>
  </r>
  <r>
    <x v="1"/>
    <x v="10"/>
    <x v="9"/>
    <n v="52"/>
    <n v="0"/>
    <x v="10"/>
    <x v="8"/>
    <x v="1"/>
    <x v="1"/>
    <x v="0"/>
    <n v="1"/>
    <n v="0"/>
    <x v="10"/>
  </r>
  <r>
    <x v="1"/>
    <x v="11"/>
    <x v="10"/>
    <n v="28"/>
    <n v="0"/>
    <x v="11"/>
    <x v="9"/>
    <x v="3"/>
    <x v="1"/>
    <x v="0"/>
    <n v="1"/>
    <n v="0"/>
    <x v="11"/>
  </r>
  <r>
    <x v="0"/>
    <x v="12"/>
    <x v="11"/>
    <n v="30"/>
    <n v="0"/>
    <x v="12"/>
    <x v="10"/>
    <x v="4"/>
    <x v="1"/>
    <x v="0"/>
    <n v="1"/>
    <n v="0"/>
    <x v="12"/>
  </r>
  <r>
    <x v="1"/>
    <x v="12"/>
    <x v="1"/>
    <n v="5"/>
    <n v="0"/>
    <x v="1"/>
    <x v="1"/>
    <x v="1"/>
    <x v="1"/>
    <x v="0"/>
    <n v="1"/>
    <n v="0"/>
    <x v="1"/>
  </r>
  <r>
    <x v="1"/>
    <x v="13"/>
    <x v="1"/>
    <n v="5"/>
    <n v="0"/>
    <x v="1"/>
    <x v="1"/>
    <x v="1"/>
    <x v="1"/>
    <x v="0"/>
    <n v="1"/>
    <n v="0"/>
    <x v="1"/>
  </r>
  <r>
    <x v="0"/>
    <x v="13"/>
    <x v="12"/>
    <n v="1504"/>
    <n v="0"/>
    <x v="13"/>
    <x v="11"/>
    <x v="5"/>
    <x v="1"/>
    <x v="0"/>
    <n v="1"/>
    <n v="0"/>
    <x v="13"/>
  </r>
  <r>
    <x v="0"/>
    <x v="13"/>
    <x v="13"/>
    <n v="40"/>
    <n v="0"/>
    <x v="8"/>
    <x v="12"/>
    <x v="2"/>
    <x v="1"/>
    <x v="0"/>
    <n v="1"/>
    <n v="0"/>
    <x v="8"/>
  </r>
  <r>
    <x v="1"/>
    <x v="14"/>
    <x v="14"/>
    <n v="45"/>
    <n v="0"/>
    <x v="14"/>
    <x v="13"/>
    <x v="4"/>
    <x v="1"/>
    <x v="0"/>
    <n v="1"/>
    <n v="0"/>
    <x v="14"/>
  </r>
  <r>
    <x v="1"/>
    <x v="14"/>
    <x v="15"/>
    <n v="32"/>
    <n v="0"/>
    <x v="15"/>
    <x v="3"/>
    <x v="4"/>
    <x v="1"/>
    <x v="0"/>
    <n v="1"/>
    <n v="0"/>
    <x v="15"/>
  </r>
  <r>
    <x v="1"/>
    <x v="14"/>
    <x v="1"/>
    <n v="5"/>
    <n v="0"/>
    <x v="1"/>
    <x v="1"/>
    <x v="1"/>
    <x v="1"/>
    <x v="0"/>
    <n v="1"/>
    <n v="0"/>
    <x v="1"/>
  </r>
  <r>
    <x v="1"/>
    <x v="15"/>
    <x v="1"/>
    <n v="5"/>
    <n v="0"/>
    <x v="1"/>
    <x v="1"/>
    <x v="1"/>
    <x v="1"/>
    <x v="0"/>
    <n v="1"/>
    <n v="0"/>
    <x v="1"/>
  </r>
  <r>
    <x v="1"/>
    <x v="16"/>
    <x v="1"/>
    <n v="5"/>
    <n v="0"/>
    <x v="1"/>
    <x v="1"/>
    <x v="1"/>
    <x v="1"/>
    <x v="0"/>
    <n v="1"/>
    <n v="0"/>
    <x v="1"/>
  </r>
  <r>
    <x v="1"/>
    <x v="16"/>
    <x v="4"/>
    <n v="170"/>
    <n v="0"/>
    <x v="16"/>
    <x v="4"/>
    <x v="2"/>
    <x v="1"/>
    <x v="0"/>
    <n v="1"/>
    <n v="0"/>
    <x v="16"/>
  </r>
  <r>
    <x v="1"/>
    <x v="17"/>
    <x v="16"/>
    <n v="37"/>
    <n v="0"/>
    <x v="17"/>
    <x v="8"/>
    <x v="1"/>
    <x v="1"/>
    <x v="0"/>
    <n v="1"/>
    <n v="0"/>
    <x v="17"/>
  </r>
  <r>
    <x v="1"/>
    <x v="18"/>
    <x v="17"/>
    <n v="12"/>
    <n v="0"/>
    <x v="18"/>
    <x v="8"/>
    <x v="1"/>
    <x v="1"/>
    <x v="0"/>
    <n v="1"/>
    <n v="0"/>
    <x v="18"/>
  </r>
  <r>
    <x v="0"/>
    <x v="19"/>
    <x v="18"/>
    <n v="70"/>
    <n v="0"/>
    <x v="19"/>
    <x v="14"/>
    <x v="6"/>
    <x v="1"/>
    <x v="0"/>
    <n v="1"/>
    <n v="0"/>
    <x v="19"/>
  </r>
  <r>
    <x v="1"/>
    <x v="19"/>
    <x v="6"/>
    <n v="63"/>
    <n v="0"/>
    <x v="20"/>
    <x v="6"/>
    <x v="3"/>
    <x v="1"/>
    <x v="0"/>
    <n v="1"/>
    <n v="0"/>
    <x v="20"/>
  </r>
  <r>
    <x v="1"/>
    <x v="19"/>
    <x v="1"/>
    <n v="5"/>
    <n v="0"/>
    <x v="1"/>
    <x v="1"/>
    <x v="1"/>
    <x v="1"/>
    <x v="0"/>
    <n v="1"/>
    <n v="0"/>
    <x v="1"/>
  </r>
  <r>
    <x v="1"/>
    <x v="20"/>
    <x v="1"/>
    <n v="5"/>
    <n v="0"/>
    <x v="1"/>
    <x v="1"/>
    <x v="1"/>
    <x v="1"/>
    <x v="0"/>
    <n v="1"/>
    <n v="0"/>
    <x v="1"/>
  </r>
  <r>
    <x v="1"/>
    <x v="21"/>
    <x v="1"/>
    <n v="5"/>
    <n v="0"/>
    <x v="1"/>
    <x v="1"/>
    <x v="1"/>
    <x v="1"/>
    <x v="0"/>
    <n v="1"/>
    <n v="0"/>
    <x v="1"/>
  </r>
  <r>
    <x v="1"/>
    <x v="22"/>
    <x v="1"/>
    <n v="5"/>
    <n v="0"/>
    <x v="1"/>
    <x v="1"/>
    <x v="1"/>
    <x v="1"/>
    <x v="0"/>
    <n v="1"/>
    <n v="0"/>
    <x v="1"/>
  </r>
  <r>
    <x v="1"/>
    <x v="23"/>
    <x v="1"/>
    <n v="5"/>
    <n v="0"/>
    <x v="1"/>
    <x v="1"/>
    <x v="1"/>
    <x v="1"/>
    <x v="0"/>
    <n v="1"/>
    <n v="0"/>
    <x v="1"/>
  </r>
  <r>
    <x v="1"/>
    <x v="23"/>
    <x v="4"/>
    <n v="162"/>
    <n v="0"/>
    <x v="21"/>
    <x v="4"/>
    <x v="2"/>
    <x v="1"/>
    <x v="0"/>
    <n v="1"/>
    <n v="0"/>
    <x v="21"/>
  </r>
  <r>
    <x v="1"/>
    <x v="24"/>
    <x v="19"/>
    <n v="125"/>
    <n v="0"/>
    <x v="22"/>
    <x v="7"/>
    <x v="4"/>
    <x v="1"/>
    <x v="0"/>
    <n v="1"/>
    <n v="0"/>
    <x v="22"/>
  </r>
  <r>
    <x v="1"/>
    <x v="24"/>
    <x v="20"/>
    <n v="175"/>
    <n v="0"/>
    <x v="23"/>
    <x v="3"/>
    <x v="4"/>
    <x v="1"/>
    <x v="0"/>
    <n v="1"/>
    <n v="0"/>
    <x v="23"/>
  </r>
  <r>
    <x v="1"/>
    <x v="25"/>
    <x v="8"/>
    <n v="145"/>
    <n v="0"/>
    <x v="24"/>
    <x v="7"/>
    <x v="4"/>
    <x v="1"/>
    <x v="0"/>
    <n v="1"/>
    <n v="0"/>
    <x v="24"/>
  </r>
  <r>
    <x v="1"/>
    <x v="25"/>
    <x v="10"/>
    <n v="23"/>
    <n v="0"/>
    <x v="25"/>
    <x v="9"/>
    <x v="3"/>
    <x v="1"/>
    <x v="0"/>
    <n v="1"/>
    <n v="0"/>
    <x v="25"/>
  </r>
  <r>
    <x v="0"/>
    <x v="26"/>
    <x v="0"/>
    <n v="0"/>
    <n v="4000"/>
    <x v="0"/>
    <x v="0"/>
    <x v="0"/>
    <x v="0"/>
    <x v="1"/>
    <n v="2"/>
    <n v="4000"/>
    <x v="0"/>
  </r>
  <r>
    <x v="1"/>
    <x v="26"/>
    <x v="1"/>
    <n v="5"/>
    <n v="0"/>
    <x v="1"/>
    <x v="1"/>
    <x v="1"/>
    <x v="1"/>
    <x v="1"/>
    <n v="2"/>
    <n v="0"/>
    <x v="1"/>
  </r>
  <r>
    <x v="0"/>
    <x v="27"/>
    <x v="2"/>
    <n v="900"/>
    <n v="0"/>
    <x v="2"/>
    <x v="2"/>
    <x v="2"/>
    <x v="1"/>
    <x v="1"/>
    <n v="2"/>
    <n v="0"/>
    <x v="2"/>
  </r>
  <r>
    <x v="0"/>
    <x v="27"/>
    <x v="3"/>
    <n v="150"/>
    <n v="0"/>
    <x v="3"/>
    <x v="3"/>
    <x v="3"/>
    <x v="1"/>
    <x v="1"/>
    <n v="2"/>
    <n v="0"/>
    <x v="3"/>
  </r>
  <r>
    <x v="1"/>
    <x v="27"/>
    <x v="1"/>
    <n v="5"/>
    <n v="0"/>
    <x v="1"/>
    <x v="1"/>
    <x v="1"/>
    <x v="1"/>
    <x v="1"/>
    <n v="2"/>
    <n v="0"/>
    <x v="1"/>
  </r>
  <r>
    <x v="1"/>
    <x v="28"/>
    <x v="1"/>
    <n v="5"/>
    <n v="0"/>
    <x v="1"/>
    <x v="1"/>
    <x v="1"/>
    <x v="1"/>
    <x v="1"/>
    <n v="2"/>
    <n v="0"/>
    <x v="1"/>
  </r>
  <r>
    <x v="1"/>
    <x v="29"/>
    <x v="1"/>
    <n v="5"/>
    <n v="0"/>
    <x v="1"/>
    <x v="1"/>
    <x v="1"/>
    <x v="1"/>
    <x v="1"/>
    <n v="2"/>
    <n v="0"/>
    <x v="1"/>
  </r>
  <r>
    <x v="1"/>
    <x v="30"/>
    <x v="1"/>
    <n v="5"/>
    <n v="0"/>
    <x v="1"/>
    <x v="1"/>
    <x v="1"/>
    <x v="1"/>
    <x v="1"/>
    <n v="2"/>
    <n v="0"/>
    <x v="1"/>
  </r>
  <r>
    <x v="1"/>
    <x v="30"/>
    <x v="4"/>
    <n v="205"/>
    <n v="0"/>
    <x v="26"/>
    <x v="4"/>
    <x v="2"/>
    <x v="1"/>
    <x v="1"/>
    <n v="2"/>
    <n v="0"/>
    <x v="26"/>
  </r>
  <r>
    <x v="0"/>
    <x v="31"/>
    <x v="5"/>
    <n v="51.1"/>
    <n v="0"/>
    <x v="27"/>
    <x v="5"/>
    <x v="2"/>
    <x v="1"/>
    <x v="1"/>
    <n v="2"/>
    <n v="0"/>
    <x v="27"/>
  </r>
  <r>
    <x v="1"/>
    <x v="31"/>
    <x v="1"/>
    <n v="5"/>
    <n v="0"/>
    <x v="1"/>
    <x v="1"/>
    <x v="1"/>
    <x v="1"/>
    <x v="1"/>
    <n v="2"/>
    <n v="0"/>
    <x v="1"/>
  </r>
  <r>
    <x v="1"/>
    <x v="32"/>
    <x v="1"/>
    <n v="5"/>
    <n v="0"/>
    <x v="1"/>
    <x v="1"/>
    <x v="1"/>
    <x v="1"/>
    <x v="1"/>
    <n v="2"/>
    <n v="0"/>
    <x v="1"/>
  </r>
  <r>
    <x v="1"/>
    <x v="33"/>
    <x v="6"/>
    <n v="78"/>
    <n v="0"/>
    <x v="28"/>
    <x v="6"/>
    <x v="3"/>
    <x v="1"/>
    <x v="1"/>
    <n v="2"/>
    <n v="0"/>
    <x v="28"/>
  </r>
  <r>
    <x v="1"/>
    <x v="33"/>
    <x v="1"/>
    <n v="5"/>
    <n v="0"/>
    <x v="1"/>
    <x v="1"/>
    <x v="1"/>
    <x v="1"/>
    <x v="1"/>
    <n v="2"/>
    <n v="0"/>
    <x v="1"/>
  </r>
  <r>
    <x v="1"/>
    <x v="34"/>
    <x v="1"/>
    <n v="5"/>
    <n v="0"/>
    <x v="1"/>
    <x v="1"/>
    <x v="1"/>
    <x v="1"/>
    <x v="1"/>
    <n v="2"/>
    <n v="0"/>
    <x v="1"/>
  </r>
  <r>
    <x v="1"/>
    <x v="35"/>
    <x v="4"/>
    <n v="135.9"/>
    <n v="0"/>
    <x v="29"/>
    <x v="4"/>
    <x v="2"/>
    <x v="1"/>
    <x v="1"/>
    <n v="2"/>
    <n v="0"/>
    <x v="29"/>
  </r>
  <r>
    <x v="1"/>
    <x v="35"/>
    <x v="1"/>
    <n v="5"/>
    <n v="0"/>
    <x v="1"/>
    <x v="1"/>
    <x v="1"/>
    <x v="1"/>
    <x v="1"/>
    <n v="2"/>
    <n v="0"/>
    <x v="1"/>
  </r>
  <r>
    <x v="1"/>
    <x v="36"/>
    <x v="1"/>
    <n v="5"/>
    <n v="0"/>
    <x v="1"/>
    <x v="1"/>
    <x v="1"/>
    <x v="1"/>
    <x v="1"/>
    <n v="2"/>
    <n v="0"/>
    <x v="1"/>
  </r>
  <r>
    <x v="1"/>
    <x v="36"/>
    <x v="7"/>
    <n v="40.9"/>
    <n v="0"/>
    <x v="30"/>
    <x v="3"/>
    <x v="4"/>
    <x v="1"/>
    <x v="1"/>
    <n v="2"/>
    <n v="0"/>
    <x v="30"/>
  </r>
  <r>
    <x v="1"/>
    <x v="36"/>
    <x v="8"/>
    <n v="99"/>
    <n v="0"/>
    <x v="31"/>
    <x v="7"/>
    <x v="4"/>
    <x v="1"/>
    <x v="1"/>
    <n v="2"/>
    <n v="0"/>
    <x v="31"/>
  </r>
  <r>
    <x v="1"/>
    <x v="36"/>
    <x v="9"/>
    <n v="53"/>
    <n v="0"/>
    <x v="32"/>
    <x v="8"/>
    <x v="1"/>
    <x v="1"/>
    <x v="1"/>
    <n v="2"/>
    <n v="0"/>
    <x v="32"/>
  </r>
  <r>
    <x v="1"/>
    <x v="37"/>
    <x v="10"/>
    <n v="28.9"/>
    <n v="0"/>
    <x v="33"/>
    <x v="9"/>
    <x v="3"/>
    <x v="1"/>
    <x v="1"/>
    <n v="2"/>
    <n v="0"/>
    <x v="33"/>
  </r>
  <r>
    <x v="0"/>
    <x v="38"/>
    <x v="11"/>
    <n v="30"/>
    <n v="0"/>
    <x v="12"/>
    <x v="10"/>
    <x v="4"/>
    <x v="1"/>
    <x v="1"/>
    <n v="2"/>
    <n v="0"/>
    <x v="12"/>
  </r>
  <r>
    <x v="1"/>
    <x v="38"/>
    <x v="1"/>
    <n v="5"/>
    <n v="0"/>
    <x v="1"/>
    <x v="1"/>
    <x v="1"/>
    <x v="1"/>
    <x v="1"/>
    <n v="2"/>
    <n v="0"/>
    <x v="1"/>
  </r>
  <r>
    <x v="1"/>
    <x v="39"/>
    <x v="1"/>
    <n v="5"/>
    <n v="0"/>
    <x v="1"/>
    <x v="1"/>
    <x v="1"/>
    <x v="1"/>
    <x v="1"/>
    <n v="2"/>
    <n v="0"/>
    <x v="1"/>
  </r>
  <r>
    <x v="0"/>
    <x v="39"/>
    <x v="13"/>
    <n v="40"/>
    <n v="0"/>
    <x v="8"/>
    <x v="12"/>
    <x v="2"/>
    <x v="1"/>
    <x v="1"/>
    <n v="2"/>
    <n v="0"/>
    <x v="8"/>
  </r>
  <r>
    <x v="1"/>
    <x v="40"/>
    <x v="14"/>
    <n v="45.9"/>
    <n v="0"/>
    <x v="34"/>
    <x v="13"/>
    <x v="4"/>
    <x v="1"/>
    <x v="1"/>
    <n v="2"/>
    <n v="0"/>
    <x v="34"/>
  </r>
  <r>
    <x v="1"/>
    <x v="40"/>
    <x v="15"/>
    <n v="35"/>
    <n v="0"/>
    <x v="35"/>
    <x v="3"/>
    <x v="4"/>
    <x v="1"/>
    <x v="1"/>
    <n v="2"/>
    <n v="0"/>
    <x v="35"/>
  </r>
  <r>
    <x v="1"/>
    <x v="40"/>
    <x v="1"/>
    <n v="5"/>
    <n v="0"/>
    <x v="1"/>
    <x v="1"/>
    <x v="1"/>
    <x v="1"/>
    <x v="1"/>
    <n v="2"/>
    <n v="0"/>
    <x v="1"/>
  </r>
  <r>
    <x v="1"/>
    <x v="41"/>
    <x v="1"/>
    <n v="5"/>
    <n v="0"/>
    <x v="1"/>
    <x v="1"/>
    <x v="1"/>
    <x v="1"/>
    <x v="1"/>
    <n v="2"/>
    <n v="0"/>
    <x v="1"/>
  </r>
  <r>
    <x v="1"/>
    <x v="42"/>
    <x v="1"/>
    <n v="5"/>
    <n v="0"/>
    <x v="1"/>
    <x v="1"/>
    <x v="1"/>
    <x v="1"/>
    <x v="1"/>
    <n v="2"/>
    <n v="0"/>
    <x v="1"/>
  </r>
  <r>
    <x v="1"/>
    <x v="42"/>
    <x v="4"/>
    <n v="171"/>
    <n v="0"/>
    <x v="36"/>
    <x v="4"/>
    <x v="2"/>
    <x v="1"/>
    <x v="1"/>
    <n v="2"/>
    <n v="0"/>
    <x v="36"/>
  </r>
  <r>
    <x v="1"/>
    <x v="43"/>
    <x v="16"/>
    <n v="37.9"/>
    <n v="0"/>
    <x v="37"/>
    <x v="8"/>
    <x v="1"/>
    <x v="1"/>
    <x v="1"/>
    <n v="2"/>
    <n v="0"/>
    <x v="37"/>
  </r>
  <r>
    <x v="1"/>
    <x v="44"/>
    <x v="17"/>
    <n v="12.9"/>
    <n v="0"/>
    <x v="38"/>
    <x v="8"/>
    <x v="1"/>
    <x v="1"/>
    <x v="1"/>
    <n v="2"/>
    <n v="0"/>
    <x v="38"/>
  </r>
  <r>
    <x v="0"/>
    <x v="45"/>
    <x v="18"/>
    <n v="55"/>
    <n v="0"/>
    <x v="39"/>
    <x v="14"/>
    <x v="6"/>
    <x v="1"/>
    <x v="1"/>
    <n v="2"/>
    <n v="0"/>
    <x v="39"/>
  </r>
  <r>
    <x v="1"/>
    <x v="45"/>
    <x v="6"/>
    <n v="64.099999999999994"/>
    <n v="0"/>
    <x v="40"/>
    <x v="6"/>
    <x v="3"/>
    <x v="1"/>
    <x v="1"/>
    <n v="2"/>
    <n v="0"/>
    <x v="40"/>
  </r>
  <r>
    <x v="1"/>
    <x v="45"/>
    <x v="1"/>
    <n v="5"/>
    <n v="0"/>
    <x v="1"/>
    <x v="1"/>
    <x v="1"/>
    <x v="1"/>
    <x v="1"/>
    <n v="2"/>
    <n v="0"/>
    <x v="1"/>
  </r>
  <r>
    <x v="1"/>
    <x v="46"/>
    <x v="1"/>
    <n v="5"/>
    <n v="0"/>
    <x v="1"/>
    <x v="1"/>
    <x v="1"/>
    <x v="1"/>
    <x v="1"/>
    <n v="2"/>
    <n v="0"/>
    <x v="1"/>
  </r>
  <r>
    <x v="1"/>
    <x v="47"/>
    <x v="1"/>
    <n v="5"/>
    <n v="0"/>
    <x v="1"/>
    <x v="1"/>
    <x v="1"/>
    <x v="1"/>
    <x v="1"/>
    <n v="2"/>
    <n v="0"/>
    <x v="1"/>
  </r>
  <r>
    <x v="1"/>
    <x v="48"/>
    <x v="1"/>
    <n v="5"/>
    <n v="0"/>
    <x v="1"/>
    <x v="1"/>
    <x v="1"/>
    <x v="1"/>
    <x v="1"/>
    <n v="2"/>
    <n v="0"/>
    <x v="1"/>
  </r>
  <r>
    <x v="1"/>
    <x v="49"/>
    <x v="1"/>
    <n v="5"/>
    <n v="0"/>
    <x v="1"/>
    <x v="1"/>
    <x v="1"/>
    <x v="1"/>
    <x v="1"/>
    <n v="2"/>
    <n v="0"/>
    <x v="1"/>
  </r>
  <r>
    <x v="1"/>
    <x v="49"/>
    <x v="4"/>
    <n v="162.9"/>
    <n v="0"/>
    <x v="41"/>
    <x v="4"/>
    <x v="2"/>
    <x v="1"/>
    <x v="1"/>
    <n v="2"/>
    <n v="0"/>
    <x v="41"/>
  </r>
  <r>
    <x v="1"/>
    <x v="50"/>
    <x v="19"/>
    <n v="125.9"/>
    <n v="0"/>
    <x v="42"/>
    <x v="7"/>
    <x v="4"/>
    <x v="1"/>
    <x v="1"/>
    <n v="2"/>
    <n v="0"/>
    <x v="42"/>
  </r>
  <r>
    <x v="1"/>
    <x v="50"/>
    <x v="21"/>
    <n v="137"/>
    <n v="0"/>
    <x v="43"/>
    <x v="7"/>
    <x v="4"/>
    <x v="1"/>
    <x v="1"/>
    <n v="2"/>
    <n v="0"/>
    <x v="43"/>
  </r>
  <r>
    <x v="1"/>
    <x v="51"/>
    <x v="8"/>
    <n v="146.1"/>
    <n v="0"/>
    <x v="44"/>
    <x v="7"/>
    <x v="4"/>
    <x v="1"/>
    <x v="1"/>
    <n v="2"/>
    <n v="0"/>
    <x v="44"/>
  </r>
  <r>
    <x v="1"/>
    <x v="51"/>
    <x v="10"/>
    <n v="24.1"/>
    <n v="0"/>
    <x v="45"/>
    <x v="9"/>
    <x v="3"/>
    <x v="1"/>
    <x v="1"/>
    <n v="2"/>
    <n v="0"/>
    <x v="45"/>
  </r>
  <r>
    <x v="0"/>
    <x v="52"/>
    <x v="0"/>
    <n v="0"/>
    <n v="4000"/>
    <x v="0"/>
    <x v="0"/>
    <x v="0"/>
    <x v="0"/>
    <x v="2"/>
    <n v="3"/>
    <n v="4000"/>
    <x v="0"/>
  </r>
  <r>
    <x v="1"/>
    <x v="52"/>
    <x v="1"/>
    <n v="5"/>
    <n v="0"/>
    <x v="1"/>
    <x v="1"/>
    <x v="1"/>
    <x v="1"/>
    <x v="2"/>
    <n v="3"/>
    <n v="0"/>
    <x v="1"/>
  </r>
  <r>
    <x v="0"/>
    <x v="53"/>
    <x v="2"/>
    <n v="900"/>
    <n v="0"/>
    <x v="2"/>
    <x v="2"/>
    <x v="2"/>
    <x v="1"/>
    <x v="2"/>
    <n v="3"/>
    <n v="0"/>
    <x v="2"/>
  </r>
  <r>
    <x v="0"/>
    <x v="53"/>
    <x v="3"/>
    <n v="150"/>
    <n v="0"/>
    <x v="3"/>
    <x v="3"/>
    <x v="3"/>
    <x v="1"/>
    <x v="2"/>
    <n v="3"/>
    <n v="0"/>
    <x v="3"/>
  </r>
  <r>
    <x v="1"/>
    <x v="53"/>
    <x v="1"/>
    <n v="5"/>
    <n v="0"/>
    <x v="1"/>
    <x v="1"/>
    <x v="1"/>
    <x v="1"/>
    <x v="2"/>
    <n v="3"/>
    <n v="0"/>
    <x v="1"/>
  </r>
  <r>
    <x v="1"/>
    <x v="54"/>
    <x v="1"/>
    <n v="5"/>
    <n v="0"/>
    <x v="1"/>
    <x v="1"/>
    <x v="1"/>
    <x v="1"/>
    <x v="2"/>
    <n v="3"/>
    <n v="0"/>
    <x v="1"/>
  </r>
  <r>
    <x v="1"/>
    <x v="55"/>
    <x v="1"/>
    <n v="5"/>
    <n v="0"/>
    <x v="1"/>
    <x v="1"/>
    <x v="1"/>
    <x v="1"/>
    <x v="2"/>
    <n v="3"/>
    <n v="0"/>
    <x v="1"/>
  </r>
  <r>
    <x v="1"/>
    <x v="56"/>
    <x v="1"/>
    <n v="5"/>
    <n v="0"/>
    <x v="1"/>
    <x v="1"/>
    <x v="1"/>
    <x v="1"/>
    <x v="2"/>
    <n v="3"/>
    <n v="0"/>
    <x v="1"/>
  </r>
  <r>
    <x v="1"/>
    <x v="56"/>
    <x v="4"/>
    <n v="149"/>
    <n v="0"/>
    <x v="46"/>
    <x v="4"/>
    <x v="2"/>
    <x v="1"/>
    <x v="2"/>
    <n v="3"/>
    <n v="0"/>
    <x v="46"/>
  </r>
  <r>
    <x v="0"/>
    <x v="57"/>
    <x v="5"/>
    <n v="52.1"/>
    <n v="0"/>
    <x v="47"/>
    <x v="5"/>
    <x v="2"/>
    <x v="1"/>
    <x v="2"/>
    <n v="3"/>
    <n v="0"/>
    <x v="47"/>
  </r>
  <r>
    <x v="1"/>
    <x v="57"/>
    <x v="1"/>
    <n v="5"/>
    <n v="0"/>
    <x v="1"/>
    <x v="1"/>
    <x v="1"/>
    <x v="1"/>
    <x v="2"/>
    <n v="3"/>
    <n v="0"/>
    <x v="1"/>
  </r>
  <r>
    <x v="1"/>
    <x v="58"/>
    <x v="1"/>
    <n v="5"/>
    <n v="0"/>
    <x v="1"/>
    <x v="1"/>
    <x v="1"/>
    <x v="1"/>
    <x v="2"/>
    <n v="3"/>
    <n v="0"/>
    <x v="1"/>
  </r>
  <r>
    <x v="1"/>
    <x v="59"/>
    <x v="6"/>
    <n v="78.900000000000006"/>
    <n v="0"/>
    <x v="48"/>
    <x v="6"/>
    <x v="3"/>
    <x v="1"/>
    <x v="2"/>
    <n v="3"/>
    <n v="0"/>
    <x v="48"/>
  </r>
  <r>
    <x v="1"/>
    <x v="59"/>
    <x v="1"/>
    <n v="5"/>
    <n v="0"/>
    <x v="1"/>
    <x v="1"/>
    <x v="1"/>
    <x v="1"/>
    <x v="2"/>
    <n v="3"/>
    <n v="0"/>
    <x v="1"/>
  </r>
  <r>
    <x v="1"/>
    <x v="60"/>
    <x v="1"/>
    <n v="5"/>
    <n v="0"/>
    <x v="1"/>
    <x v="1"/>
    <x v="1"/>
    <x v="1"/>
    <x v="2"/>
    <n v="3"/>
    <n v="0"/>
    <x v="1"/>
  </r>
  <r>
    <x v="1"/>
    <x v="61"/>
    <x v="4"/>
    <n v="137"/>
    <n v="0"/>
    <x v="43"/>
    <x v="4"/>
    <x v="2"/>
    <x v="1"/>
    <x v="2"/>
    <n v="3"/>
    <n v="0"/>
    <x v="43"/>
  </r>
  <r>
    <x v="1"/>
    <x v="61"/>
    <x v="1"/>
    <n v="5"/>
    <n v="0"/>
    <x v="1"/>
    <x v="1"/>
    <x v="1"/>
    <x v="1"/>
    <x v="2"/>
    <n v="3"/>
    <n v="0"/>
    <x v="1"/>
  </r>
  <r>
    <x v="1"/>
    <x v="62"/>
    <x v="1"/>
    <n v="5"/>
    <n v="0"/>
    <x v="1"/>
    <x v="1"/>
    <x v="1"/>
    <x v="1"/>
    <x v="2"/>
    <n v="3"/>
    <n v="0"/>
    <x v="1"/>
  </r>
  <r>
    <x v="1"/>
    <x v="62"/>
    <x v="7"/>
    <n v="41.8"/>
    <n v="0"/>
    <x v="49"/>
    <x v="3"/>
    <x v="4"/>
    <x v="1"/>
    <x v="2"/>
    <n v="3"/>
    <n v="0"/>
    <x v="49"/>
  </r>
  <r>
    <x v="1"/>
    <x v="62"/>
    <x v="8"/>
    <n v="99.9"/>
    <n v="0"/>
    <x v="50"/>
    <x v="7"/>
    <x v="4"/>
    <x v="1"/>
    <x v="2"/>
    <n v="3"/>
    <n v="0"/>
    <x v="50"/>
  </r>
  <r>
    <x v="1"/>
    <x v="62"/>
    <x v="9"/>
    <n v="54"/>
    <n v="0"/>
    <x v="51"/>
    <x v="8"/>
    <x v="1"/>
    <x v="1"/>
    <x v="2"/>
    <n v="3"/>
    <n v="0"/>
    <x v="51"/>
  </r>
  <r>
    <x v="1"/>
    <x v="63"/>
    <x v="10"/>
    <n v="30"/>
    <n v="0"/>
    <x v="12"/>
    <x v="9"/>
    <x v="3"/>
    <x v="1"/>
    <x v="2"/>
    <n v="3"/>
    <n v="0"/>
    <x v="12"/>
  </r>
  <r>
    <x v="0"/>
    <x v="64"/>
    <x v="11"/>
    <n v="30"/>
    <n v="0"/>
    <x v="12"/>
    <x v="10"/>
    <x v="4"/>
    <x v="1"/>
    <x v="2"/>
    <n v="3"/>
    <n v="0"/>
    <x v="12"/>
  </r>
  <r>
    <x v="1"/>
    <x v="64"/>
    <x v="1"/>
    <n v="5"/>
    <n v="0"/>
    <x v="1"/>
    <x v="1"/>
    <x v="1"/>
    <x v="1"/>
    <x v="2"/>
    <n v="3"/>
    <n v="0"/>
    <x v="1"/>
  </r>
  <r>
    <x v="1"/>
    <x v="65"/>
    <x v="1"/>
    <n v="5"/>
    <n v="0"/>
    <x v="1"/>
    <x v="1"/>
    <x v="1"/>
    <x v="1"/>
    <x v="2"/>
    <n v="3"/>
    <n v="0"/>
    <x v="1"/>
  </r>
  <r>
    <x v="0"/>
    <x v="65"/>
    <x v="22"/>
    <n v="75"/>
    <n v="0"/>
    <x v="52"/>
    <x v="11"/>
    <x v="5"/>
    <x v="1"/>
    <x v="2"/>
    <n v="3"/>
    <n v="0"/>
    <x v="52"/>
  </r>
  <r>
    <x v="0"/>
    <x v="65"/>
    <x v="13"/>
    <n v="40"/>
    <n v="0"/>
    <x v="8"/>
    <x v="12"/>
    <x v="2"/>
    <x v="1"/>
    <x v="2"/>
    <n v="3"/>
    <n v="0"/>
    <x v="8"/>
  </r>
  <r>
    <x v="1"/>
    <x v="66"/>
    <x v="14"/>
    <n v="46.8"/>
    <n v="0"/>
    <x v="53"/>
    <x v="13"/>
    <x v="4"/>
    <x v="1"/>
    <x v="2"/>
    <n v="3"/>
    <n v="0"/>
    <x v="53"/>
  </r>
  <r>
    <x v="1"/>
    <x v="66"/>
    <x v="15"/>
    <n v="35"/>
    <n v="0"/>
    <x v="35"/>
    <x v="3"/>
    <x v="4"/>
    <x v="1"/>
    <x v="2"/>
    <n v="3"/>
    <n v="0"/>
    <x v="35"/>
  </r>
  <r>
    <x v="1"/>
    <x v="66"/>
    <x v="1"/>
    <n v="5"/>
    <n v="0"/>
    <x v="1"/>
    <x v="1"/>
    <x v="1"/>
    <x v="1"/>
    <x v="2"/>
    <n v="3"/>
    <n v="0"/>
    <x v="1"/>
  </r>
  <r>
    <x v="1"/>
    <x v="67"/>
    <x v="1"/>
    <n v="5"/>
    <n v="0"/>
    <x v="1"/>
    <x v="1"/>
    <x v="1"/>
    <x v="1"/>
    <x v="2"/>
    <n v="3"/>
    <n v="0"/>
    <x v="1"/>
  </r>
  <r>
    <x v="1"/>
    <x v="68"/>
    <x v="1"/>
    <n v="5"/>
    <n v="0"/>
    <x v="1"/>
    <x v="1"/>
    <x v="1"/>
    <x v="1"/>
    <x v="2"/>
    <n v="3"/>
    <n v="0"/>
    <x v="1"/>
  </r>
  <r>
    <x v="1"/>
    <x v="68"/>
    <x v="4"/>
    <n v="171.9"/>
    <n v="0"/>
    <x v="54"/>
    <x v="4"/>
    <x v="2"/>
    <x v="1"/>
    <x v="2"/>
    <n v="3"/>
    <n v="0"/>
    <x v="54"/>
  </r>
  <r>
    <x v="1"/>
    <x v="69"/>
    <x v="16"/>
    <n v="39"/>
    <n v="0"/>
    <x v="55"/>
    <x v="8"/>
    <x v="1"/>
    <x v="1"/>
    <x v="2"/>
    <n v="3"/>
    <n v="0"/>
    <x v="55"/>
  </r>
  <r>
    <x v="1"/>
    <x v="70"/>
    <x v="17"/>
    <n v="14"/>
    <n v="0"/>
    <x v="56"/>
    <x v="8"/>
    <x v="1"/>
    <x v="1"/>
    <x v="2"/>
    <n v="3"/>
    <n v="0"/>
    <x v="56"/>
  </r>
  <r>
    <x v="0"/>
    <x v="71"/>
    <x v="18"/>
    <n v="55"/>
    <n v="0"/>
    <x v="39"/>
    <x v="14"/>
    <x v="6"/>
    <x v="1"/>
    <x v="2"/>
    <n v="3"/>
    <n v="0"/>
    <x v="39"/>
  </r>
  <r>
    <x v="1"/>
    <x v="71"/>
    <x v="6"/>
    <n v="65"/>
    <n v="0"/>
    <x v="57"/>
    <x v="6"/>
    <x v="3"/>
    <x v="1"/>
    <x v="2"/>
    <n v="3"/>
    <n v="0"/>
    <x v="57"/>
  </r>
  <r>
    <x v="1"/>
    <x v="71"/>
    <x v="1"/>
    <n v="5"/>
    <n v="0"/>
    <x v="1"/>
    <x v="1"/>
    <x v="1"/>
    <x v="1"/>
    <x v="2"/>
    <n v="3"/>
    <n v="0"/>
    <x v="1"/>
  </r>
  <r>
    <x v="1"/>
    <x v="72"/>
    <x v="1"/>
    <n v="5"/>
    <n v="0"/>
    <x v="1"/>
    <x v="1"/>
    <x v="1"/>
    <x v="1"/>
    <x v="2"/>
    <n v="3"/>
    <n v="0"/>
    <x v="1"/>
  </r>
  <r>
    <x v="1"/>
    <x v="73"/>
    <x v="1"/>
    <n v="5"/>
    <n v="0"/>
    <x v="1"/>
    <x v="1"/>
    <x v="1"/>
    <x v="1"/>
    <x v="2"/>
    <n v="3"/>
    <n v="0"/>
    <x v="1"/>
  </r>
  <r>
    <x v="1"/>
    <x v="74"/>
    <x v="1"/>
    <n v="5"/>
    <n v="0"/>
    <x v="1"/>
    <x v="1"/>
    <x v="1"/>
    <x v="1"/>
    <x v="2"/>
    <n v="3"/>
    <n v="0"/>
    <x v="1"/>
  </r>
  <r>
    <x v="1"/>
    <x v="75"/>
    <x v="1"/>
    <n v="5"/>
    <n v="0"/>
    <x v="1"/>
    <x v="1"/>
    <x v="1"/>
    <x v="1"/>
    <x v="2"/>
    <n v="3"/>
    <n v="0"/>
    <x v="1"/>
  </r>
  <r>
    <x v="1"/>
    <x v="75"/>
    <x v="4"/>
    <n v="209"/>
    <n v="0"/>
    <x v="58"/>
    <x v="4"/>
    <x v="2"/>
    <x v="1"/>
    <x v="2"/>
    <n v="3"/>
    <n v="0"/>
    <x v="58"/>
  </r>
  <r>
    <x v="1"/>
    <x v="76"/>
    <x v="19"/>
    <n v="127"/>
    <n v="0"/>
    <x v="59"/>
    <x v="7"/>
    <x v="4"/>
    <x v="1"/>
    <x v="2"/>
    <n v="3"/>
    <n v="0"/>
    <x v="59"/>
  </r>
  <r>
    <x v="1"/>
    <x v="76"/>
    <x v="23"/>
    <n v="177.2"/>
    <n v="0"/>
    <x v="60"/>
    <x v="7"/>
    <x v="4"/>
    <x v="1"/>
    <x v="2"/>
    <n v="3"/>
    <n v="0"/>
    <x v="60"/>
  </r>
  <r>
    <x v="1"/>
    <x v="77"/>
    <x v="8"/>
    <n v="147.1"/>
    <n v="0"/>
    <x v="61"/>
    <x v="7"/>
    <x v="4"/>
    <x v="1"/>
    <x v="2"/>
    <n v="3"/>
    <n v="0"/>
    <x v="61"/>
  </r>
  <r>
    <x v="1"/>
    <x v="77"/>
    <x v="10"/>
    <n v="25"/>
    <n v="0"/>
    <x v="62"/>
    <x v="9"/>
    <x v="3"/>
    <x v="1"/>
    <x v="2"/>
    <n v="3"/>
    <n v="0"/>
    <x v="62"/>
  </r>
  <r>
    <x v="1"/>
    <x v="78"/>
    <x v="24"/>
    <n v="15"/>
    <n v="0"/>
    <x v="63"/>
    <x v="8"/>
    <x v="1"/>
    <x v="1"/>
    <x v="2"/>
    <n v="3"/>
    <n v="0"/>
    <x v="63"/>
  </r>
  <r>
    <x v="1"/>
    <x v="79"/>
    <x v="1"/>
    <n v="5"/>
    <n v="0"/>
    <x v="1"/>
    <x v="1"/>
    <x v="1"/>
    <x v="1"/>
    <x v="2"/>
    <n v="3"/>
    <n v="0"/>
    <x v="1"/>
  </r>
  <r>
    <x v="1"/>
    <x v="80"/>
    <x v="1"/>
    <n v="5"/>
    <n v="0"/>
    <x v="1"/>
    <x v="1"/>
    <x v="1"/>
    <x v="1"/>
    <x v="2"/>
    <n v="3"/>
    <n v="0"/>
    <x v="1"/>
  </r>
  <r>
    <x v="0"/>
    <x v="81"/>
    <x v="0"/>
    <n v="0"/>
    <n v="4000"/>
    <x v="0"/>
    <x v="0"/>
    <x v="0"/>
    <x v="0"/>
    <x v="3"/>
    <n v="4"/>
    <n v="4000"/>
    <x v="0"/>
  </r>
  <r>
    <x v="1"/>
    <x v="81"/>
    <x v="1"/>
    <n v="5"/>
    <n v="0"/>
    <x v="1"/>
    <x v="1"/>
    <x v="1"/>
    <x v="1"/>
    <x v="3"/>
    <n v="4"/>
    <n v="0"/>
    <x v="1"/>
  </r>
  <r>
    <x v="0"/>
    <x v="82"/>
    <x v="2"/>
    <n v="900"/>
    <n v="0"/>
    <x v="2"/>
    <x v="2"/>
    <x v="2"/>
    <x v="1"/>
    <x v="3"/>
    <n v="4"/>
    <n v="0"/>
    <x v="2"/>
  </r>
  <r>
    <x v="0"/>
    <x v="82"/>
    <x v="3"/>
    <n v="150"/>
    <n v="0"/>
    <x v="3"/>
    <x v="3"/>
    <x v="3"/>
    <x v="1"/>
    <x v="3"/>
    <n v="4"/>
    <n v="0"/>
    <x v="3"/>
  </r>
  <r>
    <x v="1"/>
    <x v="82"/>
    <x v="1"/>
    <n v="5"/>
    <n v="0"/>
    <x v="1"/>
    <x v="1"/>
    <x v="1"/>
    <x v="1"/>
    <x v="3"/>
    <n v="4"/>
    <n v="0"/>
    <x v="1"/>
  </r>
  <r>
    <x v="1"/>
    <x v="83"/>
    <x v="1"/>
    <n v="5"/>
    <n v="0"/>
    <x v="1"/>
    <x v="1"/>
    <x v="1"/>
    <x v="1"/>
    <x v="3"/>
    <n v="4"/>
    <n v="0"/>
    <x v="1"/>
  </r>
  <r>
    <x v="1"/>
    <x v="84"/>
    <x v="1"/>
    <n v="5"/>
    <n v="0"/>
    <x v="1"/>
    <x v="1"/>
    <x v="1"/>
    <x v="1"/>
    <x v="3"/>
    <n v="4"/>
    <n v="0"/>
    <x v="1"/>
  </r>
  <r>
    <x v="1"/>
    <x v="85"/>
    <x v="1"/>
    <n v="5"/>
    <n v="0"/>
    <x v="1"/>
    <x v="1"/>
    <x v="1"/>
    <x v="1"/>
    <x v="3"/>
    <n v="4"/>
    <n v="0"/>
    <x v="1"/>
  </r>
  <r>
    <x v="1"/>
    <x v="85"/>
    <x v="4"/>
    <n v="158.19999999999999"/>
    <n v="0"/>
    <x v="64"/>
    <x v="4"/>
    <x v="2"/>
    <x v="1"/>
    <x v="3"/>
    <n v="4"/>
    <n v="0"/>
    <x v="64"/>
  </r>
  <r>
    <x v="0"/>
    <x v="86"/>
    <x v="5"/>
    <n v="53.2"/>
    <n v="0"/>
    <x v="65"/>
    <x v="5"/>
    <x v="2"/>
    <x v="1"/>
    <x v="3"/>
    <n v="4"/>
    <n v="0"/>
    <x v="65"/>
  </r>
  <r>
    <x v="1"/>
    <x v="86"/>
    <x v="1"/>
    <n v="5"/>
    <n v="0"/>
    <x v="1"/>
    <x v="1"/>
    <x v="1"/>
    <x v="1"/>
    <x v="3"/>
    <n v="4"/>
    <n v="0"/>
    <x v="1"/>
  </r>
  <r>
    <x v="1"/>
    <x v="87"/>
    <x v="1"/>
    <n v="5"/>
    <n v="0"/>
    <x v="1"/>
    <x v="1"/>
    <x v="1"/>
    <x v="1"/>
    <x v="3"/>
    <n v="4"/>
    <n v="0"/>
    <x v="1"/>
  </r>
  <r>
    <x v="1"/>
    <x v="88"/>
    <x v="6"/>
    <n v="79.900000000000006"/>
    <n v="0"/>
    <x v="66"/>
    <x v="6"/>
    <x v="3"/>
    <x v="1"/>
    <x v="3"/>
    <n v="4"/>
    <n v="0"/>
    <x v="66"/>
  </r>
  <r>
    <x v="1"/>
    <x v="88"/>
    <x v="1"/>
    <n v="5"/>
    <n v="0"/>
    <x v="1"/>
    <x v="1"/>
    <x v="1"/>
    <x v="1"/>
    <x v="3"/>
    <n v="4"/>
    <n v="0"/>
    <x v="1"/>
  </r>
  <r>
    <x v="1"/>
    <x v="89"/>
    <x v="1"/>
    <n v="5"/>
    <n v="0"/>
    <x v="1"/>
    <x v="1"/>
    <x v="1"/>
    <x v="1"/>
    <x v="3"/>
    <n v="4"/>
    <n v="0"/>
    <x v="1"/>
  </r>
  <r>
    <x v="1"/>
    <x v="90"/>
    <x v="4"/>
    <n v="98"/>
    <n v="0"/>
    <x v="9"/>
    <x v="4"/>
    <x v="2"/>
    <x v="1"/>
    <x v="3"/>
    <n v="4"/>
    <n v="0"/>
    <x v="9"/>
  </r>
  <r>
    <x v="1"/>
    <x v="90"/>
    <x v="1"/>
    <n v="5"/>
    <n v="0"/>
    <x v="1"/>
    <x v="1"/>
    <x v="1"/>
    <x v="1"/>
    <x v="3"/>
    <n v="4"/>
    <n v="0"/>
    <x v="1"/>
  </r>
  <r>
    <x v="1"/>
    <x v="91"/>
    <x v="1"/>
    <n v="5"/>
    <n v="0"/>
    <x v="1"/>
    <x v="1"/>
    <x v="1"/>
    <x v="1"/>
    <x v="3"/>
    <n v="4"/>
    <n v="0"/>
    <x v="1"/>
  </r>
  <r>
    <x v="1"/>
    <x v="91"/>
    <x v="7"/>
    <n v="42.8"/>
    <n v="0"/>
    <x v="67"/>
    <x v="3"/>
    <x v="4"/>
    <x v="1"/>
    <x v="3"/>
    <n v="4"/>
    <n v="0"/>
    <x v="67"/>
  </r>
  <r>
    <x v="1"/>
    <x v="91"/>
    <x v="8"/>
    <n v="100.9"/>
    <n v="0"/>
    <x v="68"/>
    <x v="7"/>
    <x v="4"/>
    <x v="1"/>
    <x v="3"/>
    <n v="4"/>
    <n v="0"/>
    <x v="68"/>
  </r>
  <r>
    <x v="1"/>
    <x v="91"/>
    <x v="9"/>
    <n v="54.9"/>
    <n v="0"/>
    <x v="69"/>
    <x v="8"/>
    <x v="1"/>
    <x v="1"/>
    <x v="3"/>
    <n v="4"/>
    <n v="0"/>
    <x v="69"/>
  </r>
  <r>
    <x v="1"/>
    <x v="92"/>
    <x v="10"/>
    <n v="31"/>
    <n v="0"/>
    <x v="70"/>
    <x v="9"/>
    <x v="3"/>
    <x v="1"/>
    <x v="3"/>
    <n v="4"/>
    <n v="0"/>
    <x v="70"/>
  </r>
  <r>
    <x v="0"/>
    <x v="93"/>
    <x v="11"/>
    <n v="30"/>
    <n v="0"/>
    <x v="12"/>
    <x v="10"/>
    <x v="4"/>
    <x v="1"/>
    <x v="3"/>
    <n v="4"/>
    <n v="0"/>
    <x v="12"/>
  </r>
  <r>
    <x v="1"/>
    <x v="93"/>
    <x v="1"/>
    <n v="5"/>
    <n v="0"/>
    <x v="1"/>
    <x v="1"/>
    <x v="1"/>
    <x v="1"/>
    <x v="3"/>
    <n v="4"/>
    <n v="0"/>
    <x v="1"/>
  </r>
  <r>
    <x v="1"/>
    <x v="94"/>
    <x v="1"/>
    <n v="5"/>
    <n v="0"/>
    <x v="1"/>
    <x v="1"/>
    <x v="1"/>
    <x v="1"/>
    <x v="3"/>
    <n v="4"/>
    <n v="0"/>
    <x v="1"/>
  </r>
  <r>
    <x v="0"/>
    <x v="94"/>
    <x v="13"/>
    <n v="40"/>
    <n v="0"/>
    <x v="8"/>
    <x v="12"/>
    <x v="2"/>
    <x v="1"/>
    <x v="3"/>
    <n v="4"/>
    <n v="0"/>
    <x v="8"/>
  </r>
  <r>
    <x v="1"/>
    <x v="95"/>
    <x v="14"/>
    <n v="47.9"/>
    <n v="0"/>
    <x v="71"/>
    <x v="13"/>
    <x v="4"/>
    <x v="1"/>
    <x v="3"/>
    <n v="4"/>
    <n v="0"/>
    <x v="71"/>
  </r>
  <r>
    <x v="1"/>
    <x v="95"/>
    <x v="15"/>
    <n v="35"/>
    <n v="0"/>
    <x v="35"/>
    <x v="3"/>
    <x v="4"/>
    <x v="1"/>
    <x v="3"/>
    <n v="4"/>
    <n v="0"/>
    <x v="35"/>
  </r>
  <r>
    <x v="1"/>
    <x v="95"/>
    <x v="1"/>
    <n v="5"/>
    <n v="0"/>
    <x v="1"/>
    <x v="1"/>
    <x v="1"/>
    <x v="1"/>
    <x v="3"/>
    <n v="4"/>
    <n v="0"/>
    <x v="1"/>
  </r>
  <r>
    <x v="1"/>
    <x v="96"/>
    <x v="1"/>
    <n v="5"/>
    <n v="0"/>
    <x v="1"/>
    <x v="1"/>
    <x v="1"/>
    <x v="1"/>
    <x v="3"/>
    <n v="4"/>
    <n v="0"/>
    <x v="1"/>
  </r>
  <r>
    <x v="1"/>
    <x v="97"/>
    <x v="1"/>
    <n v="5"/>
    <n v="0"/>
    <x v="1"/>
    <x v="1"/>
    <x v="1"/>
    <x v="1"/>
    <x v="3"/>
    <n v="4"/>
    <n v="0"/>
    <x v="1"/>
  </r>
  <r>
    <x v="1"/>
    <x v="97"/>
    <x v="4"/>
    <n v="173"/>
    <n v="0"/>
    <x v="72"/>
    <x v="4"/>
    <x v="2"/>
    <x v="1"/>
    <x v="3"/>
    <n v="4"/>
    <n v="0"/>
    <x v="72"/>
  </r>
  <r>
    <x v="1"/>
    <x v="98"/>
    <x v="16"/>
    <n v="40.1"/>
    <n v="0"/>
    <x v="73"/>
    <x v="8"/>
    <x v="1"/>
    <x v="1"/>
    <x v="3"/>
    <n v="4"/>
    <n v="0"/>
    <x v="73"/>
  </r>
  <r>
    <x v="1"/>
    <x v="99"/>
    <x v="17"/>
    <n v="15.1"/>
    <n v="0"/>
    <x v="74"/>
    <x v="8"/>
    <x v="1"/>
    <x v="1"/>
    <x v="3"/>
    <n v="4"/>
    <n v="0"/>
    <x v="74"/>
  </r>
  <r>
    <x v="0"/>
    <x v="100"/>
    <x v="18"/>
    <n v="55"/>
    <n v="0"/>
    <x v="39"/>
    <x v="14"/>
    <x v="6"/>
    <x v="1"/>
    <x v="3"/>
    <n v="4"/>
    <n v="0"/>
    <x v="39"/>
  </r>
  <r>
    <x v="1"/>
    <x v="100"/>
    <x v="6"/>
    <n v="66"/>
    <n v="0"/>
    <x v="75"/>
    <x v="6"/>
    <x v="3"/>
    <x v="1"/>
    <x v="3"/>
    <n v="4"/>
    <n v="0"/>
    <x v="75"/>
  </r>
  <r>
    <x v="1"/>
    <x v="100"/>
    <x v="1"/>
    <n v="5"/>
    <n v="0"/>
    <x v="1"/>
    <x v="1"/>
    <x v="1"/>
    <x v="1"/>
    <x v="3"/>
    <n v="4"/>
    <n v="0"/>
    <x v="1"/>
  </r>
  <r>
    <x v="1"/>
    <x v="101"/>
    <x v="1"/>
    <n v="5"/>
    <n v="0"/>
    <x v="1"/>
    <x v="1"/>
    <x v="1"/>
    <x v="1"/>
    <x v="3"/>
    <n v="4"/>
    <n v="0"/>
    <x v="1"/>
  </r>
  <r>
    <x v="1"/>
    <x v="102"/>
    <x v="1"/>
    <n v="5"/>
    <n v="0"/>
    <x v="1"/>
    <x v="1"/>
    <x v="1"/>
    <x v="1"/>
    <x v="3"/>
    <n v="4"/>
    <n v="0"/>
    <x v="1"/>
  </r>
  <r>
    <x v="1"/>
    <x v="103"/>
    <x v="1"/>
    <n v="5"/>
    <n v="0"/>
    <x v="1"/>
    <x v="1"/>
    <x v="1"/>
    <x v="1"/>
    <x v="3"/>
    <n v="4"/>
    <n v="0"/>
    <x v="1"/>
  </r>
  <r>
    <x v="1"/>
    <x v="104"/>
    <x v="1"/>
    <n v="5"/>
    <n v="0"/>
    <x v="1"/>
    <x v="1"/>
    <x v="1"/>
    <x v="1"/>
    <x v="3"/>
    <n v="4"/>
    <n v="0"/>
    <x v="1"/>
  </r>
  <r>
    <x v="1"/>
    <x v="104"/>
    <x v="4"/>
    <n v="164.9"/>
    <n v="0"/>
    <x v="76"/>
    <x v="4"/>
    <x v="2"/>
    <x v="1"/>
    <x v="3"/>
    <n v="4"/>
    <n v="0"/>
    <x v="76"/>
  </r>
  <r>
    <x v="1"/>
    <x v="105"/>
    <x v="19"/>
    <n v="127.9"/>
    <n v="0"/>
    <x v="77"/>
    <x v="7"/>
    <x v="4"/>
    <x v="1"/>
    <x v="3"/>
    <n v="4"/>
    <n v="0"/>
    <x v="77"/>
  </r>
  <r>
    <x v="1"/>
    <x v="105"/>
    <x v="25"/>
    <n v="300"/>
    <n v="0"/>
    <x v="78"/>
    <x v="3"/>
    <x v="4"/>
    <x v="1"/>
    <x v="3"/>
    <n v="4"/>
    <n v="0"/>
    <x v="78"/>
  </r>
  <r>
    <x v="1"/>
    <x v="106"/>
    <x v="8"/>
    <n v="148.1"/>
    <n v="0"/>
    <x v="79"/>
    <x v="7"/>
    <x v="4"/>
    <x v="1"/>
    <x v="3"/>
    <n v="4"/>
    <n v="0"/>
    <x v="79"/>
  </r>
  <r>
    <x v="1"/>
    <x v="106"/>
    <x v="10"/>
    <n v="26.1"/>
    <n v="0"/>
    <x v="80"/>
    <x v="9"/>
    <x v="3"/>
    <x v="1"/>
    <x v="3"/>
    <n v="4"/>
    <n v="0"/>
    <x v="80"/>
  </r>
  <r>
    <x v="1"/>
    <x v="107"/>
    <x v="24"/>
    <n v="15"/>
    <n v="0"/>
    <x v="63"/>
    <x v="8"/>
    <x v="1"/>
    <x v="1"/>
    <x v="3"/>
    <n v="4"/>
    <n v="0"/>
    <x v="63"/>
  </r>
  <r>
    <x v="1"/>
    <x v="107"/>
    <x v="1"/>
    <n v="5"/>
    <n v="0"/>
    <x v="1"/>
    <x v="1"/>
    <x v="1"/>
    <x v="1"/>
    <x v="3"/>
    <n v="4"/>
    <n v="0"/>
    <x v="1"/>
  </r>
  <r>
    <x v="1"/>
    <x v="108"/>
    <x v="1"/>
    <n v="5"/>
    <n v="0"/>
    <x v="1"/>
    <x v="1"/>
    <x v="1"/>
    <x v="1"/>
    <x v="3"/>
    <n v="4"/>
    <n v="0"/>
    <x v="1"/>
  </r>
  <r>
    <x v="1"/>
    <x v="109"/>
    <x v="1"/>
    <n v="5"/>
    <n v="0"/>
    <x v="1"/>
    <x v="1"/>
    <x v="1"/>
    <x v="1"/>
    <x v="4"/>
    <n v="5"/>
    <n v="0"/>
    <x v="1"/>
  </r>
  <r>
    <x v="0"/>
    <x v="110"/>
    <x v="0"/>
    <n v="0"/>
    <n v="4000"/>
    <x v="0"/>
    <x v="0"/>
    <x v="0"/>
    <x v="0"/>
    <x v="4"/>
    <n v="5"/>
    <n v="4000"/>
    <x v="0"/>
  </r>
  <r>
    <x v="0"/>
    <x v="110"/>
    <x v="2"/>
    <n v="900"/>
    <n v="0"/>
    <x v="2"/>
    <x v="2"/>
    <x v="2"/>
    <x v="1"/>
    <x v="4"/>
    <n v="5"/>
    <n v="0"/>
    <x v="2"/>
  </r>
  <r>
    <x v="0"/>
    <x v="110"/>
    <x v="3"/>
    <n v="150"/>
    <n v="0"/>
    <x v="3"/>
    <x v="3"/>
    <x v="3"/>
    <x v="1"/>
    <x v="4"/>
    <n v="5"/>
    <n v="0"/>
    <x v="3"/>
  </r>
  <r>
    <x v="1"/>
    <x v="110"/>
    <x v="1"/>
    <n v="5"/>
    <n v="0"/>
    <x v="1"/>
    <x v="1"/>
    <x v="1"/>
    <x v="1"/>
    <x v="4"/>
    <n v="5"/>
    <n v="0"/>
    <x v="1"/>
  </r>
  <r>
    <x v="1"/>
    <x v="111"/>
    <x v="1"/>
    <n v="5"/>
    <n v="0"/>
    <x v="1"/>
    <x v="1"/>
    <x v="1"/>
    <x v="1"/>
    <x v="4"/>
    <n v="5"/>
    <n v="0"/>
    <x v="1"/>
  </r>
  <r>
    <x v="1"/>
    <x v="112"/>
    <x v="1"/>
    <n v="5"/>
    <n v="0"/>
    <x v="1"/>
    <x v="1"/>
    <x v="1"/>
    <x v="1"/>
    <x v="4"/>
    <n v="5"/>
    <n v="0"/>
    <x v="1"/>
  </r>
  <r>
    <x v="1"/>
    <x v="113"/>
    <x v="1"/>
    <n v="5"/>
    <n v="0"/>
    <x v="1"/>
    <x v="1"/>
    <x v="1"/>
    <x v="1"/>
    <x v="4"/>
    <n v="5"/>
    <n v="0"/>
    <x v="1"/>
  </r>
  <r>
    <x v="1"/>
    <x v="113"/>
    <x v="4"/>
    <n v="170"/>
    <n v="0"/>
    <x v="16"/>
    <x v="4"/>
    <x v="2"/>
    <x v="1"/>
    <x v="4"/>
    <n v="5"/>
    <n v="0"/>
    <x v="16"/>
  </r>
  <r>
    <x v="0"/>
    <x v="114"/>
    <x v="5"/>
    <n v="54.1"/>
    <n v="0"/>
    <x v="81"/>
    <x v="5"/>
    <x v="2"/>
    <x v="1"/>
    <x v="4"/>
    <n v="5"/>
    <n v="0"/>
    <x v="81"/>
  </r>
  <r>
    <x v="1"/>
    <x v="114"/>
    <x v="1"/>
    <n v="5"/>
    <n v="0"/>
    <x v="1"/>
    <x v="1"/>
    <x v="1"/>
    <x v="1"/>
    <x v="4"/>
    <n v="5"/>
    <n v="0"/>
    <x v="1"/>
  </r>
  <r>
    <x v="1"/>
    <x v="115"/>
    <x v="1"/>
    <n v="5"/>
    <n v="0"/>
    <x v="1"/>
    <x v="1"/>
    <x v="1"/>
    <x v="1"/>
    <x v="4"/>
    <n v="5"/>
    <n v="0"/>
    <x v="1"/>
  </r>
  <r>
    <x v="1"/>
    <x v="116"/>
    <x v="6"/>
    <n v="81"/>
    <n v="0"/>
    <x v="82"/>
    <x v="6"/>
    <x v="3"/>
    <x v="1"/>
    <x v="4"/>
    <n v="5"/>
    <n v="0"/>
    <x v="82"/>
  </r>
  <r>
    <x v="1"/>
    <x v="116"/>
    <x v="1"/>
    <n v="5"/>
    <n v="0"/>
    <x v="1"/>
    <x v="1"/>
    <x v="1"/>
    <x v="1"/>
    <x v="4"/>
    <n v="5"/>
    <n v="0"/>
    <x v="1"/>
  </r>
  <r>
    <x v="1"/>
    <x v="117"/>
    <x v="1"/>
    <n v="5"/>
    <n v="0"/>
    <x v="1"/>
    <x v="1"/>
    <x v="1"/>
    <x v="1"/>
    <x v="4"/>
    <n v="5"/>
    <n v="0"/>
    <x v="1"/>
  </r>
  <r>
    <x v="1"/>
    <x v="118"/>
    <x v="4"/>
    <n v="139.1"/>
    <n v="0"/>
    <x v="83"/>
    <x v="4"/>
    <x v="2"/>
    <x v="1"/>
    <x v="4"/>
    <n v="5"/>
    <n v="0"/>
    <x v="83"/>
  </r>
  <r>
    <x v="1"/>
    <x v="118"/>
    <x v="1"/>
    <n v="5"/>
    <n v="0"/>
    <x v="1"/>
    <x v="1"/>
    <x v="1"/>
    <x v="1"/>
    <x v="4"/>
    <n v="5"/>
    <n v="0"/>
    <x v="1"/>
  </r>
  <r>
    <x v="1"/>
    <x v="119"/>
    <x v="1"/>
    <n v="5"/>
    <n v="0"/>
    <x v="1"/>
    <x v="1"/>
    <x v="1"/>
    <x v="1"/>
    <x v="4"/>
    <n v="5"/>
    <n v="0"/>
    <x v="1"/>
  </r>
  <r>
    <x v="1"/>
    <x v="119"/>
    <x v="7"/>
    <n v="43.9"/>
    <n v="0"/>
    <x v="84"/>
    <x v="3"/>
    <x v="4"/>
    <x v="1"/>
    <x v="4"/>
    <n v="5"/>
    <n v="0"/>
    <x v="84"/>
  </r>
  <r>
    <x v="1"/>
    <x v="119"/>
    <x v="8"/>
    <n v="101.80000000000001"/>
    <n v="0"/>
    <x v="85"/>
    <x v="7"/>
    <x v="4"/>
    <x v="1"/>
    <x v="4"/>
    <n v="5"/>
    <n v="0"/>
    <x v="85"/>
  </r>
  <r>
    <x v="1"/>
    <x v="119"/>
    <x v="9"/>
    <n v="55.9"/>
    <n v="0"/>
    <x v="86"/>
    <x v="8"/>
    <x v="1"/>
    <x v="1"/>
    <x v="4"/>
    <n v="5"/>
    <n v="0"/>
    <x v="86"/>
  </r>
  <r>
    <x v="1"/>
    <x v="120"/>
    <x v="10"/>
    <n v="32"/>
    <n v="0"/>
    <x v="15"/>
    <x v="9"/>
    <x v="3"/>
    <x v="1"/>
    <x v="4"/>
    <n v="5"/>
    <n v="0"/>
    <x v="15"/>
  </r>
  <r>
    <x v="0"/>
    <x v="121"/>
    <x v="11"/>
    <n v="30"/>
    <n v="0"/>
    <x v="12"/>
    <x v="10"/>
    <x v="4"/>
    <x v="1"/>
    <x v="4"/>
    <n v="5"/>
    <n v="0"/>
    <x v="12"/>
  </r>
  <r>
    <x v="1"/>
    <x v="121"/>
    <x v="1"/>
    <n v="5"/>
    <n v="0"/>
    <x v="1"/>
    <x v="1"/>
    <x v="1"/>
    <x v="1"/>
    <x v="4"/>
    <n v="5"/>
    <n v="0"/>
    <x v="1"/>
  </r>
  <r>
    <x v="1"/>
    <x v="122"/>
    <x v="1"/>
    <n v="5"/>
    <n v="0"/>
    <x v="1"/>
    <x v="1"/>
    <x v="1"/>
    <x v="1"/>
    <x v="4"/>
    <n v="5"/>
    <n v="0"/>
    <x v="1"/>
  </r>
  <r>
    <x v="0"/>
    <x v="122"/>
    <x v="22"/>
    <n v="75"/>
    <n v="0"/>
    <x v="52"/>
    <x v="11"/>
    <x v="5"/>
    <x v="1"/>
    <x v="4"/>
    <n v="5"/>
    <n v="0"/>
    <x v="52"/>
  </r>
  <r>
    <x v="0"/>
    <x v="122"/>
    <x v="13"/>
    <n v="40"/>
    <n v="0"/>
    <x v="8"/>
    <x v="12"/>
    <x v="2"/>
    <x v="1"/>
    <x v="4"/>
    <n v="5"/>
    <n v="0"/>
    <x v="8"/>
  </r>
  <r>
    <x v="1"/>
    <x v="123"/>
    <x v="14"/>
    <n v="49"/>
    <n v="0"/>
    <x v="87"/>
    <x v="13"/>
    <x v="4"/>
    <x v="1"/>
    <x v="4"/>
    <n v="5"/>
    <n v="0"/>
    <x v="87"/>
  </r>
  <r>
    <x v="1"/>
    <x v="123"/>
    <x v="15"/>
    <n v="35"/>
    <n v="0"/>
    <x v="35"/>
    <x v="3"/>
    <x v="4"/>
    <x v="1"/>
    <x v="4"/>
    <n v="5"/>
    <n v="0"/>
    <x v="35"/>
  </r>
  <r>
    <x v="1"/>
    <x v="123"/>
    <x v="1"/>
    <n v="5"/>
    <n v="0"/>
    <x v="1"/>
    <x v="1"/>
    <x v="1"/>
    <x v="1"/>
    <x v="4"/>
    <n v="5"/>
    <n v="0"/>
    <x v="1"/>
  </r>
  <r>
    <x v="1"/>
    <x v="124"/>
    <x v="1"/>
    <n v="5"/>
    <n v="0"/>
    <x v="1"/>
    <x v="1"/>
    <x v="1"/>
    <x v="1"/>
    <x v="4"/>
    <n v="5"/>
    <n v="0"/>
    <x v="1"/>
  </r>
  <r>
    <x v="1"/>
    <x v="125"/>
    <x v="1"/>
    <n v="5"/>
    <n v="0"/>
    <x v="1"/>
    <x v="1"/>
    <x v="1"/>
    <x v="1"/>
    <x v="4"/>
    <n v="5"/>
    <n v="0"/>
    <x v="1"/>
  </r>
  <r>
    <x v="1"/>
    <x v="125"/>
    <x v="4"/>
    <n v="174"/>
    <n v="0"/>
    <x v="88"/>
    <x v="4"/>
    <x v="2"/>
    <x v="1"/>
    <x v="4"/>
    <n v="5"/>
    <n v="0"/>
    <x v="88"/>
  </r>
  <r>
    <x v="1"/>
    <x v="126"/>
    <x v="16"/>
    <n v="41.1"/>
    <n v="0"/>
    <x v="89"/>
    <x v="8"/>
    <x v="1"/>
    <x v="1"/>
    <x v="4"/>
    <n v="5"/>
    <n v="0"/>
    <x v="89"/>
  </r>
  <r>
    <x v="1"/>
    <x v="127"/>
    <x v="17"/>
    <n v="16.2"/>
    <n v="0"/>
    <x v="90"/>
    <x v="8"/>
    <x v="1"/>
    <x v="1"/>
    <x v="4"/>
    <n v="5"/>
    <n v="0"/>
    <x v="90"/>
  </r>
  <r>
    <x v="0"/>
    <x v="128"/>
    <x v="18"/>
    <n v="55"/>
    <n v="0"/>
    <x v="39"/>
    <x v="14"/>
    <x v="6"/>
    <x v="1"/>
    <x v="4"/>
    <n v="5"/>
    <n v="0"/>
    <x v="39"/>
  </r>
  <r>
    <x v="1"/>
    <x v="128"/>
    <x v="6"/>
    <n v="67"/>
    <n v="0"/>
    <x v="91"/>
    <x v="6"/>
    <x v="3"/>
    <x v="1"/>
    <x v="4"/>
    <n v="5"/>
    <n v="0"/>
    <x v="91"/>
  </r>
  <r>
    <x v="1"/>
    <x v="128"/>
    <x v="1"/>
    <n v="5"/>
    <n v="0"/>
    <x v="1"/>
    <x v="1"/>
    <x v="1"/>
    <x v="1"/>
    <x v="4"/>
    <n v="5"/>
    <n v="0"/>
    <x v="1"/>
  </r>
  <r>
    <x v="1"/>
    <x v="129"/>
    <x v="1"/>
    <n v="5"/>
    <n v="0"/>
    <x v="1"/>
    <x v="1"/>
    <x v="1"/>
    <x v="1"/>
    <x v="4"/>
    <n v="5"/>
    <n v="0"/>
    <x v="1"/>
  </r>
  <r>
    <x v="1"/>
    <x v="130"/>
    <x v="1"/>
    <n v="5"/>
    <n v="0"/>
    <x v="1"/>
    <x v="1"/>
    <x v="1"/>
    <x v="1"/>
    <x v="4"/>
    <n v="5"/>
    <n v="0"/>
    <x v="1"/>
  </r>
  <r>
    <x v="1"/>
    <x v="131"/>
    <x v="1"/>
    <n v="5"/>
    <n v="0"/>
    <x v="1"/>
    <x v="1"/>
    <x v="1"/>
    <x v="1"/>
    <x v="4"/>
    <n v="5"/>
    <n v="0"/>
    <x v="1"/>
  </r>
  <r>
    <x v="1"/>
    <x v="132"/>
    <x v="1"/>
    <n v="5"/>
    <n v="0"/>
    <x v="1"/>
    <x v="1"/>
    <x v="1"/>
    <x v="1"/>
    <x v="4"/>
    <n v="5"/>
    <n v="0"/>
    <x v="1"/>
  </r>
  <r>
    <x v="1"/>
    <x v="132"/>
    <x v="4"/>
    <n v="165.8"/>
    <n v="0"/>
    <x v="92"/>
    <x v="4"/>
    <x v="2"/>
    <x v="1"/>
    <x v="4"/>
    <n v="5"/>
    <n v="0"/>
    <x v="92"/>
  </r>
  <r>
    <x v="1"/>
    <x v="133"/>
    <x v="19"/>
    <n v="128.80000000000001"/>
    <n v="0"/>
    <x v="93"/>
    <x v="7"/>
    <x v="4"/>
    <x v="1"/>
    <x v="4"/>
    <n v="5"/>
    <n v="0"/>
    <x v="93"/>
  </r>
  <r>
    <x v="1"/>
    <x v="133"/>
    <x v="26"/>
    <n v="235"/>
    <n v="0"/>
    <x v="94"/>
    <x v="15"/>
    <x v="4"/>
    <x v="1"/>
    <x v="4"/>
    <n v="5"/>
    <n v="0"/>
    <x v="94"/>
  </r>
  <r>
    <x v="1"/>
    <x v="134"/>
    <x v="8"/>
    <n v="149.19999999999999"/>
    <n v="0"/>
    <x v="95"/>
    <x v="7"/>
    <x v="4"/>
    <x v="1"/>
    <x v="4"/>
    <n v="5"/>
    <n v="0"/>
    <x v="95"/>
  </r>
  <r>
    <x v="1"/>
    <x v="134"/>
    <x v="10"/>
    <n v="27.200000000000003"/>
    <n v="0"/>
    <x v="96"/>
    <x v="9"/>
    <x v="3"/>
    <x v="1"/>
    <x v="4"/>
    <n v="5"/>
    <n v="0"/>
    <x v="96"/>
  </r>
  <r>
    <x v="1"/>
    <x v="135"/>
    <x v="24"/>
    <n v="15"/>
    <n v="0"/>
    <x v="63"/>
    <x v="8"/>
    <x v="1"/>
    <x v="1"/>
    <x v="4"/>
    <n v="5"/>
    <n v="0"/>
    <x v="63"/>
  </r>
  <r>
    <x v="1"/>
    <x v="136"/>
    <x v="1"/>
    <n v="5"/>
    <n v="0"/>
    <x v="1"/>
    <x v="1"/>
    <x v="1"/>
    <x v="1"/>
    <x v="4"/>
    <n v="5"/>
    <n v="0"/>
    <x v="1"/>
  </r>
  <r>
    <x v="1"/>
    <x v="135"/>
    <x v="1"/>
    <n v="5"/>
    <n v="0"/>
    <x v="1"/>
    <x v="1"/>
    <x v="1"/>
    <x v="1"/>
    <x v="4"/>
    <n v="5"/>
    <n v="0"/>
    <x v="1"/>
  </r>
  <r>
    <x v="0"/>
    <x v="137"/>
    <x v="0"/>
    <n v="0"/>
    <n v="4000"/>
    <x v="0"/>
    <x v="0"/>
    <x v="0"/>
    <x v="0"/>
    <x v="5"/>
    <n v="6"/>
    <n v="4000"/>
    <x v="0"/>
  </r>
  <r>
    <x v="1"/>
    <x v="138"/>
    <x v="1"/>
    <n v="5"/>
    <n v="0"/>
    <x v="1"/>
    <x v="1"/>
    <x v="1"/>
    <x v="1"/>
    <x v="5"/>
    <n v="6"/>
    <n v="0"/>
    <x v="1"/>
  </r>
  <r>
    <x v="0"/>
    <x v="138"/>
    <x v="2"/>
    <n v="900"/>
    <n v="0"/>
    <x v="2"/>
    <x v="2"/>
    <x v="2"/>
    <x v="1"/>
    <x v="5"/>
    <n v="6"/>
    <n v="0"/>
    <x v="2"/>
  </r>
  <r>
    <x v="0"/>
    <x v="138"/>
    <x v="3"/>
    <n v="150"/>
    <n v="0"/>
    <x v="3"/>
    <x v="3"/>
    <x v="3"/>
    <x v="1"/>
    <x v="5"/>
    <n v="6"/>
    <n v="0"/>
    <x v="3"/>
  </r>
  <r>
    <x v="1"/>
    <x v="139"/>
    <x v="1"/>
    <n v="5"/>
    <n v="0"/>
    <x v="1"/>
    <x v="1"/>
    <x v="1"/>
    <x v="1"/>
    <x v="5"/>
    <n v="6"/>
    <n v="0"/>
    <x v="1"/>
  </r>
  <r>
    <x v="1"/>
    <x v="140"/>
    <x v="1"/>
    <n v="5"/>
    <n v="0"/>
    <x v="1"/>
    <x v="1"/>
    <x v="1"/>
    <x v="1"/>
    <x v="5"/>
    <n v="6"/>
    <n v="0"/>
    <x v="1"/>
  </r>
  <r>
    <x v="1"/>
    <x v="141"/>
    <x v="1"/>
    <n v="5"/>
    <n v="0"/>
    <x v="1"/>
    <x v="1"/>
    <x v="1"/>
    <x v="1"/>
    <x v="5"/>
    <n v="6"/>
    <n v="0"/>
    <x v="1"/>
  </r>
  <r>
    <x v="1"/>
    <x v="141"/>
    <x v="4"/>
    <n v="119"/>
    <n v="0"/>
    <x v="97"/>
    <x v="4"/>
    <x v="2"/>
    <x v="1"/>
    <x v="5"/>
    <n v="6"/>
    <n v="0"/>
    <x v="97"/>
  </r>
  <r>
    <x v="0"/>
    <x v="142"/>
    <x v="5"/>
    <n v="55"/>
    <n v="0"/>
    <x v="39"/>
    <x v="5"/>
    <x v="2"/>
    <x v="1"/>
    <x v="5"/>
    <n v="6"/>
    <n v="0"/>
    <x v="39"/>
  </r>
  <r>
    <x v="1"/>
    <x v="142"/>
    <x v="1"/>
    <n v="5"/>
    <n v="0"/>
    <x v="1"/>
    <x v="1"/>
    <x v="1"/>
    <x v="1"/>
    <x v="5"/>
    <n v="6"/>
    <n v="0"/>
    <x v="1"/>
  </r>
  <r>
    <x v="1"/>
    <x v="143"/>
    <x v="1"/>
    <n v="5"/>
    <n v="0"/>
    <x v="1"/>
    <x v="1"/>
    <x v="1"/>
    <x v="1"/>
    <x v="5"/>
    <n v="6"/>
    <n v="0"/>
    <x v="1"/>
  </r>
  <r>
    <x v="1"/>
    <x v="144"/>
    <x v="6"/>
    <n v="82.1"/>
    <n v="0"/>
    <x v="98"/>
    <x v="6"/>
    <x v="3"/>
    <x v="1"/>
    <x v="5"/>
    <n v="6"/>
    <n v="0"/>
    <x v="98"/>
  </r>
  <r>
    <x v="1"/>
    <x v="144"/>
    <x v="1"/>
    <n v="5"/>
    <n v="0"/>
    <x v="1"/>
    <x v="1"/>
    <x v="1"/>
    <x v="1"/>
    <x v="5"/>
    <n v="6"/>
    <n v="0"/>
    <x v="1"/>
  </r>
  <r>
    <x v="1"/>
    <x v="145"/>
    <x v="1"/>
    <n v="5"/>
    <n v="0"/>
    <x v="1"/>
    <x v="1"/>
    <x v="1"/>
    <x v="1"/>
    <x v="5"/>
    <n v="6"/>
    <n v="0"/>
    <x v="1"/>
  </r>
  <r>
    <x v="1"/>
    <x v="146"/>
    <x v="4"/>
    <n v="140.19999999999999"/>
    <n v="0"/>
    <x v="99"/>
    <x v="4"/>
    <x v="2"/>
    <x v="1"/>
    <x v="5"/>
    <n v="6"/>
    <n v="0"/>
    <x v="99"/>
  </r>
  <r>
    <x v="1"/>
    <x v="146"/>
    <x v="1"/>
    <n v="5"/>
    <n v="0"/>
    <x v="1"/>
    <x v="1"/>
    <x v="1"/>
    <x v="1"/>
    <x v="5"/>
    <n v="6"/>
    <n v="0"/>
    <x v="1"/>
  </r>
  <r>
    <x v="1"/>
    <x v="147"/>
    <x v="1"/>
    <n v="5"/>
    <n v="0"/>
    <x v="1"/>
    <x v="1"/>
    <x v="1"/>
    <x v="1"/>
    <x v="5"/>
    <n v="6"/>
    <n v="0"/>
    <x v="1"/>
  </r>
  <r>
    <x v="1"/>
    <x v="147"/>
    <x v="7"/>
    <n v="44.9"/>
    <n v="0"/>
    <x v="100"/>
    <x v="3"/>
    <x v="4"/>
    <x v="1"/>
    <x v="5"/>
    <n v="6"/>
    <n v="0"/>
    <x v="100"/>
  </r>
  <r>
    <x v="1"/>
    <x v="147"/>
    <x v="8"/>
    <n v="102.9"/>
    <n v="0"/>
    <x v="101"/>
    <x v="7"/>
    <x v="4"/>
    <x v="1"/>
    <x v="5"/>
    <n v="6"/>
    <n v="0"/>
    <x v="101"/>
  </r>
  <r>
    <x v="1"/>
    <x v="147"/>
    <x v="9"/>
    <n v="56.9"/>
    <n v="0"/>
    <x v="102"/>
    <x v="8"/>
    <x v="1"/>
    <x v="1"/>
    <x v="5"/>
    <n v="6"/>
    <n v="0"/>
    <x v="102"/>
  </r>
  <r>
    <x v="1"/>
    <x v="148"/>
    <x v="10"/>
    <n v="33.1"/>
    <n v="0"/>
    <x v="103"/>
    <x v="9"/>
    <x v="3"/>
    <x v="1"/>
    <x v="5"/>
    <n v="6"/>
    <n v="0"/>
    <x v="103"/>
  </r>
  <r>
    <x v="0"/>
    <x v="149"/>
    <x v="11"/>
    <n v="30"/>
    <n v="0"/>
    <x v="12"/>
    <x v="10"/>
    <x v="4"/>
    <x v="1"/>
    <x v="5"/>
    <n v="6"/>
    <n v="0"/>
    <x v="12"/>
  </r>
  <r>
    <x v="1"/>
    <x v="149"/>
    <x v="1"/>
    <n v="5"/>
    <n v="0"/>
    <x v="1"/>
    <x v="1"/>
    <x v="1"/>
    <x v="1"/>
    <x v="5"/>
    <n v="6"/>
    <n v="0"/>
    <x v="1"/>
  </r>
  <r>
    <x v="1"/>
    <x v="150"/>
    <x v="1"/>
    <n v="5"/>
    <n v="0"/>
    <x v="1"/>
    <x v="1"/>
    <x v="1"/>
    <x v="1"/>
    <x v="5"/>
    <n v="6"/>
    <n v="0"/>
    <x v="1"/>
  </r>
  <r>
    <x v="0"/>
    <x v="150"/>
    <x v="13"/>
    <n v="40"/>
    <n v="0"/>
    <x v="8"/>
    <x v="12"/>
    <x v="2"/>
    <x v="1"/>
    <x v="5"/>
    <n v="6"/>
    <n v="0"/>
    <x v="8"/>
  </r>
  <r>
    <x v="1"/>
    <x v="151"/>
    <x v="14"/>
    <n v="50.1"/>
    <n v="0"/>
    <x v="104"/>
    <x v="13"/>
    <x v="4"/>
    <x v="1"/>
    <x v="5"/>
    <n v="6"/>
    <n v="0"/>
    <x v="104"/>
  </r>
  <r>
    <x v="1"/>
    <x v="151"/>
    <x v="15"/>
    <n v="35"/>
    <n v="0"/>
    <x v="35"/>
    <x v="3"/>
    <x v="4"/>
    <x v="1"/>
    <x v="5"/>
    <n v="6"/>
    <n v="0"/>
    <x v="35"/>
  </r>
  <r>
    <x v="1"/>
    <x v="151"/>
    <x v="1"/>
    <n v="5"/>
    <n v="0"/>
    <x v="1"/>
    <x v="1"/>
    <x v="1"/>
    <x v="1"/>
    <x v="5"/>
    <n v="6"/>
    <n v="0"/>
    <x v="1"/>
  </r>
  <r>
    <x v="1"/>
    <x v="152"/>
    <x v="1"/>
    <n v="5"/>
    <n v="0"/>
    <x v="1"/>
    <x v="1"/>
    <x v="1"/>
    <x v="1"/>
    <x v="5"/>
    <n v="6"/>
    <n v="0"/>
    <x v="1"/>
  </r>
  <r>
    <x v="1"/>
    <x v="153"/>
    <x v="1"/>
    <n v="5"/>
    <n v="0"/>
    <x v="1"/>
    <x v="1"/>
    <x v="1"/>
    <x v="1"/>
    <x v="5"/>
    <n v="6"/>
    <n v="0"/>
    <x v="1"/>
  </r>
  <r>
    <x v="1"/>
    <x v="153"/>
    <x v="4"/>
    <n v="234"/>
    <n v="0"/>
    <x v="105"/>
    <x v="4"/>
    <x v="2"/>
    <x v="1"/>
    <x v="5"/>
    <n v="6"/>
    <n v="0"/>
    <x v="105"/>
  </r>
  <r>
    <x v="1"/>
    <x v="154"/>
    <x v="16"/>
    <n v="42.1"/>
    <n v="0"/>
    <x v="106"/>
    <x v="8"/>
    <x v="1"/>
    <x v="1"/>
    <x v="5"/>
    <n v="6"/>
    <n v="0"/>
    <x v="106"/>
  </r>
  <r>
    <x v="1"/>
    <x v="155"/>
    <x v="17"/>
    <n v="17.099999999999998"/>
    <n v="0"/>
    <x v="107"/>
    <x v="8"/>
    <x v="1"/>
    <x v="1"/>
    <x v="5"/>
    <n v="6"/>
    <n v="0"/>
    <x v="107"/>
  </r>
  <r>
    <x v="0"/>
    <x v="156"/>
    <x v="18"/>
    <n v="55"/>
    <n v="0"/>
    <x v="39"/>
    <x v="14"/>
    <x v="6"/>
    <x v="1"/>
    <x v="5"/>
    <n v="6"/>
    <n v="0"/>
    <x v="39"/>
  </r>
  <r>
    <x v="1"/>
    <x v="156"/>
    <x v="6"/>
    <n v="67.900000000000006"/>
    <n v="0"/>
    <x v="108"/>
    <x v="6"/>
    <x v="3"/>
    <x v="1"/>
    <x v="5"/>
    <n v="6"/>
    <n v="0"/>
    <x v="108"/>
  </r>
  <r>
    <x v="1"/>
    <x v="156"/>
    <x v="1"/>
    <n v="5"/>
    <n v="0"/>
    <x v="1"/>
    <x v="1"/>
    <x v="1"/>
    <x v="1"/>
    <x v="5"/>
    <n v="6"/>
    <n v="0"/>
    <x v="1"/>
  </r>
  <r>
    <x v="1"/>
    <x v="157"/>
    <x v="1"/>
    <n v="5"/>
    <n v="0"/>
    <x v="1"/>
    <x v="1"/>
    <x v="1"/>
    <x v="1"/>
    <x v="5"/>
    <n v="6"/>
    <n v="0"/>
    <x v="1"/>
  </r>
  <r>
    <x v="1"/>
    <x v="158"/>
    <x v="1"/>
    <n v="5"/>
    <n v="0"/>
    <x v="1"/>
    <x v="1"/>
    <x v="1"/>
    <x v="1"/>
    <x v="5"/>
    <n v="6"/>
    <n v="0"/>
    <x v="1"/>
  </r>
  <r>
    <x v="1"/>
    <x v="159"/>
    <x v="1"/>
    <n v="5"/>
    <n v="0"/>
    <x v="1"/>
    <x v="1"/>
    <x v="1"/>
    <x v="1"/>
    <x v="5"/>
    <n v="6"/>
    <n v="0"/>
    <x v="1"/>
  </r>
  <r>
    <x v="1"/>
    <x v="160"/>
    <x v="1"/>
    <n v="5"/>
    <n v="0"/>
    <x v="1"/>
    <x v="1"/>
    <x v="1"/>
    <x v="1"/>
    <x v="5"/>
    <n v="6"/>
    <n v="0"/>
    <x v="1"/>
  </r>
  <r>
    <x v="1"/>
    <x v="160"/>
    <x v="4"/>
    <n v="166.9"/>
    <n v="0"/>
    <x v="109"/>
    <x v="4"/>
    <x v="2"/>
    <x v="1"/>
    <x v="5"/>
    <n v="6"/>
    <n v="0"/>
    <x v="109"/>
  </r>
  <r>
    <x v="1"/>
    <x v="161"/>
    <x v="19"/>
    <n v="129.9"/>
    <n v="0"/>
    <x v="110"/>
    <x v="7"/>
    <x v="4"/>
    <x v="1"/>
    <x v="5"/>
    <n v="6"/>
    <n v="0"/>
    <x v="110"/>
  </r>
  <r>
    <x v="1"/>
    <x v="161"/>
    <x v="20"/>
    <n v="180.29999999999998"/>
    <n v="0"/>
    <x v="111"/>
    <x v="3"/>
    <x v="4"/>
    <x v="1"/>
    <x v="5"/>
    <n v="6"/>
    <n v="0"/>
    <x v="111"/>
  </r>
  <r>
    <x v="1"/>
    <x v="162"/>
    <x v="8"/>
    <n v="150.1"/>
    <n v="0"/>
    <x v="112"/>
    <x v="7"/>
    <x v="4"/>
    <x v="1"/>
    <x v="5"/>
    <n v="6"/>
    <n v="0"/>
    <x v="112"/>
  </r>
  <r>
    <x v="1"/>
    <x v="162"/>
    <x v="10"/>
    <n v="28.200000000000003"/>
    <n v="0"/>
    <x v="113"/>
    <x v="9"/>
    <x v="3"/>
    <x v="1"/>
    <x v="5"/>
    <n v="6"/>
    <n v="0"/>
    <x v="113"/>
  </r>
  <r>
    <x v="1"/>
    <x v="162"/>
    <x v="24"/>
    <n v="15"/>
    <n v="0"/>
    <x v="63"/>
    <x v="8"/>
    <x v="1"/>
    <x v="1"/>
    <x v="5"/>
    <n v="6"/>
    <n v="0"/>
    <x v="63"/>
  </r>
  <r>
    <x v="1"/>
    <x v="163"/>
    <x v="1"/>
    <n v="5"/>
    <n v="0"/>
    <x v="1"/>
    <x v="1"/>
    <x v="1"/>
    <x v="1"/>
    <x v="5"/>
    <n v="6"/>
    <n v="0"/>
    <x v="1"/>
  </r>
  <r>
    <x v="1"/>
    <x v="164"/>
    <x v="1"/>
    <n v="5"/>
    <n v="0"/>
    <x v="1"/>
    <x v="1"/>
    <x v="1"/>
    <x v="1"/>
    <x v="6"/>
    <n v="7"/>
    <n v="0"/>
    <x v="1"/>
  </r>
  <r>
    <x v="0"/>
    <x v="165"/>
    <x v="0"/>
    <n v="0"/>
    <n v="4000"/>
    <x v="0"/>
    <x v="0"/>
    <x v="0"/>
    <x v="0"/>
    <x v="6"/>
    <n v="7"/>
    <n v="4000"/>
    <x v="0"/>
  </r>
  <r>
    <x v="1"/>
    <x v="166"/>
    <x v="1"/>
    <n v="5"/>
    <n v="0"/>
    <x v="1"/>
    <x v="1"/>
    <x v="1"/>
    <x v="1"/>
    <x v="6"/>
    <n v="7"/>
    <n v="0"/>
    <x v="1"/>
  </r>
  <r>
    <x v="0"/>
    <x v="167"/>
    <x v="2"/>
    <n v="900"/>
    <n v="0"/>
    <x v="2"/>
    <x v="2"/>
    <x v="2"/>
    <x v="1"/>
    <x v="6"/>
    <n v="7"/>
    <n v="0"/>
    <x v="2"/>
  </r>
  <r>
    <x v="0"/>
    <x v="167"/>
    <x v="3"/>
    <n v="150"/>
    <n v="0"/>
    <x v="3"/>
    <x v="3"/>
    <x v="3"/>
    <x v="1"/>
    <x v="6"/>
    <n v="7"/>
    <n v="0"/>
    <x v="3"/>
  </r>
  <r>
    <x v="1"/>
    <x v="167"/>
    <x v="27"/>
    <n v="15"/>
    <n v="0"/>
    <x v="63"/>
    <x v="8"/>
    <x v="1"/>
    <x v="1"/>
    <x v="6"/>
    <n v="7"/>
    <n v="0"/>
    <x v="63"/>
  </r>
  <r>
    <x v="1"/>
    <x v="167"/>
    <x v="1"/>
    <n v="5"/>
    <n v="0"/>
    <x v="1"/>
    <x v="1"/>
    <x v="1"/>
    <x v="1"/>
    <x v="6"/>
    <n v="7"/>
    <n v="0"/>
    <x v="1"/>
  </r>
  <r>
    <x v="1"/>
    <x v="168"/>
    <x v="1"/>
    <n v="5"/>
    <n v="0"/>
    <x v="1"/>
    <x v="1"/>
    <x v="1"/>
    <x v="1"/>
    <x v="6"/>
    <n v="7"/>
    <n v="0"/>
    <x v="1"/>
  </r>
  <r>
    <x v="1"/>
    <x v="169"/>
    <x v="1"/>
    <n v="5"/>
    <n v="0"/>
    <x v="1"/>
    <x v="1"/>
    <x v="1"/>
    <x v="1"/>
    <x v="6"/>
    <n v="7"/>
    <n v="0"/>
    <x v="1"/>
  </r>
  <r>
    <x v="1"/>
    <x v="169"/>
    <x v="4"/>
    <n v="180"/>
    <n v="0"/>
    <x v="114"/>
    <x v="4"/>
    <x v="2"/>
    <x v="1"/>
    <x v="6"/>
    <n v="7"/>
    <n v="0"/>
    <x v="114"/>
  </r>
  <r>
    <x v="0"/>
    <x v="170"/>
    <x v="5"/>
    <n v="56.1"/>
    <n v="0"/>
    <x v="115"/>
    <x v="5"/>
    <x v="2"/>
    <x v="1"/>
    <x v="6"/>
    <n v="7"/>
    <n v="0"/>
    <x v="115"/>
  </r>
  <r>
    <x v="1"/>
    <x v="170"/>
    <x v="1"/>
    <n v="5"/>
    <n v="0"/>
    <x v="1"/>
    <x v="1"/>
    <x v="1"/>
    <x v="1"/>
    <x v="6"/>
    <n v="7"/>
    <n v="0"/>
    <x v="1"/>
  </r>
  <r>
    <x v="1"/>
    <x v="171"/>
    <x v="1"/>
    <n v="5"/>
    <n v="0"/>
    <x v="1"/>
    <x v="1"/>
    <x v="1"/>
    <x v="1"/>
    <x v="6"/>
    <n v="7"/>
    <n v="0"/>
    <x v="1"/>
  </r>
  <r>
    <x v="1"/>
    <x v="172"/>
    <x v="6"/>
    <n v="83.1"/>
    <n v="0"/>
    <x v="116"/>
    <x v="6"/>
    <x v="3"/>
    <x v="1"/>
    <x v="6"/>
    <n v="7"/>
    <n v="0"/>
    <x v="116"/>
  </r>
  <r>
    <x v="1"/>
    <x v="172"/>
    <x v="1"/>
    <n v="5"/>
    <n v="0"/>
    <x v="1"/>
    <x v="1"/>
    <x v="1"/>
    <x v="1"/>
    <x v="6"/>
    <n v="7"/>
    <n v="0"/>
    <x v="1"/>
  </r>
  <r>
    <x v="1"/>
    <x v="173"/>
    <x v="1"/>
    <n v="5"/>
    <n v="0"/>
    <x v="1"/>
    <x v="1"/>
    <x v="1"/>
    <x v="1"/>
    <x v="6"/>
    <n v="7"/>
    <n v="0"/>
    <x v="1"/>
  </r>
  <r>
    <x v="1"/>
    <x v="174"/>
    <x v="4"/>
    <n v="141.1"/>
    <n v="0"/>
    <x v="117"/>
    <x v="4"/>
    <x v="2"/>
    <x v="1"/>
    <x v="6"/>
    <n v="7"/>
    <n v="0"/>
    <x v="117"/>
  </r>
  <r>
    <x v="1"/>
    <x v="174"/>
    <x v="1"/>
    <n v="5"/>
    <n v="0"/>
    <x v="1"/>
    <x v="1"/>
    <x v="1"/>
    <x v="1"/>
    <x v="6"/>
    <n v="7"/>
    <n v="0"/>
    <x v="1"/>
  </r>
  <r>
    <x v="1"/>
    <x v="175"/>
    <x v="1"/>
    <n v="5"/>
    <n v="0"/>
    <x v="1"/>
    <x v="1"/>
    <x v="1"/>
    <x v="1"/>
    <x v="6"/>
    <n v="7"/>
    <n v="0"/>
    <x v="1"/>
  </r>
  <r>
    <x v="1"/>
    <x v="175"/>
    <x v="7"/>
    <n v="45.8"/>
    <n v="0"/>
    <x v="118"/>
    <x v="3"/>
    <x v="4"/>
    <x v="1"/>
    <x v="6"/>
    <n v="7"/>
    <n v="0"/>
    <x v="118"/>
  </r>
  <r>
    <x v="1"/>
    <x v="175"/>
    <x v="8"/>
    <n v="103.80000000000001"/>
    <n v="0"/>
    <x v="119"/>
    <x v="7"/>
    <x v="4"/>
    <x v="1"/>
    <x v="6"/>
    <n v="7"/>
    <n v="0"/>
    <x v="119"/>
  </r>
  <r>
    <x v="1"/>
    <x v="175"/>
    <x v="9"/>
    <n v="58"/>
    <n v="0"/>
    <x v="120"/>
    <x v="8"/>
    <x v="1"/>
    <x v="1"/>
    <x v="6"/>
    <n v="7"/>
    <n v="0"/>
    <x v="120"/>
  </r>
  <r>
    <x v="1"/>
    <x v="176"/>
    <x v="10"/>
    <n v="34.200000000000003"/>
    <n v="0"/>
    <x v="121"/>
    <x v="9"/>
    <x v="3"/>
    <x v="1"/>
    <x v="6"/>
    <n v="7"/>
    <n v="0"/>
    <x v="121"/>
  </r>
  <r>
    <x v="0"/>
    <x v="177"/>
    <x v="11"/>
    <n v="30"/>
    <n v="0"/>
    <x v="12"/>
    <x v="10"/>
    <x v="4"/>
    <x v="1"/>
    <x v="6"/>
    <n v="7"/>
    <n v="0"/>
    <x v="12"/>
  </r>
  <r>
    <x v="1"/>
    <x v="177"/>
    <x v="1"/>
    <n v="5"/>
    <n v="0"/>
    <x v="1"/>
    <x v="1"/>
    <x v="1"/>
    <x v="1"/>
    <x v="6"/>
    <n v="7"/>
    <n v="0"/>
    <x v="1"/>
  </r>
  <r>
    <x v="1"/>
    <x v="178"/>
    <x v="1"/>
    <n v="5"/>
    <n v="0"/>
    <x v="1"/>
    <x v="1"/>
    <x v="1"/>
    <x v="1"/>
    <x v="6"/>
    <n v="7"/>
    <n v="0"/>
    <x v="1"/>
  </r>
  <r>
    <x v="0"/>
    <x v="178"/>
    <x v="13"/>
    <n v="40"/>
    <n v="0"/>
    <x v="8"/>
    <x v="12"/>
    <x v="2"/>
    <x v="1"/>
    <x v="6"/>
    <n v="7"/>
    <n v="0"/>
    <x v="8"/>
  </r>
  <r>
    <x v="1"/>
    <x v="179"/>
    <x v="14"/>
    <n v="51.1"/>
    <n v="0"/>
    <x v="27"/>
    <x v="13"/>
    <x v="4"/>
    <x v="1"/>
    <x v="6"/>
    <n v="7"/>
    <n v="0"/>
    <x v="27"/>
  </r>
  <r>
    <x v="1"/>
    <x v="179"/>
    <x v="15"/>
    <n v="35"/>
    <n v="0"/>
    <x v="35"/>
    <x v="3"/>
    <x v="4"/>
    <x v="1"/>
    <x v="6"/>
    <n v="7"/>
    <n v="0"/>
    <x v="35"/>
  </r>
  <r>
    <x v="1"/>
    <x v="179"/>
    <x v="1"/>
    <n v="5"/>
    <n v="0"/>
    <x v="1"/>
    <x v="1"/>
    <x v="1"/>
    <x v="1"/>
    <x v="6"/>
    <n v="7"/>
    <n v="0"/>
    <x v="1"/>
  </r>
  <r>
    <x v="1"/>
    <x v="180"/>
    <x v="1"/>
    <n v="5"/>
    <n v="0"/>
    <x v="1"/>
    <x v="1"/>
    <x v="1"/>
    <x v="1"/>
    <x v="6"/>
    <n v="7"/>
    <n v="0"/>
    <x v="1"/>
  </r>
  <r>
    <x v="1"/>
    <x v="181"/>
    <x v="1"/>
    <n v="5"/>
    <n v="0"/>
    <x v="1"/>
    <x v="1"/>
    <x v="1"/>
    <x v="1"/>
    <x v="6"/>
    <n v="7"/>
    <n v="0"/>
    <x v="1"/>
  </r>
  <r>
    <x v="1"/>
    <x v="181"/>
    <x v="4"/>
    <n v="176"/>
    <n v="0"/>
    <x v="122"/>
    <x v="4"/>
    <x v="2"/>
    <x v="1"/>
    <x v="6"/>
    <n v="7"/>
    <n v="0"/>
    <x v="122"/>
  </r>
  <r>
    <x v="1"/>
    <x v="182"/>
    <x v="16"/>
    <n v="43.1"/>
    <n v="0"/>
    <x v="123"/>
    <x v="8"/>
    <x v="1"/>
    <x v="1"/>
    <x v="6"/>
    <n v="7"/>
    <n v="0"/>
    <x v="123"/>
  </r>
  <r>
    <x v="1"/>
    <x v="183"/>
    <x v="17"/>
    <n v="18.2"/>
    <n v="0"/>
    <x v="124"/>
    <x v="8"/>
    <x v="1"/>
    <x v="1"/>
    <x v="6"/>
    <n v="7"/>
    <n v="0"/>
    <x v="124"/>
  </r>
  <r>
    <x v="0"/>
    <x v="184"/>
    <x v="18"/>
    <n v="55"/>
    <n v="0"/>
    <x v="39"/>
    <x v="14"/>
    <x v="6"/>
    <x v="1"/>
    <x v="6"/>
    <n v="7"/>
    <n v="0"/>
    <x v="39"/>
  </r>
  <r>
    <x v="1"/>
    <x v="184"/>
    <x v="6"/>
    <n v="68.800000000000011"/>
    <n v="0"/>
    <x v="125"/>
    <x v="6"/>
    <x v="3"/>
    <x v="1"/>
    <x v="6"/>
    <n v="7"/>
    <n v="0"/>
    <x v="125"/>
  </r>
  <r>
    <x v="1"/>
    <x v="184"/>
    <x v="1"/>
    <n v="5"/>
    <n v="0"/>
    <x v="1"/>
    <x v="1"/>
    <x v="1"/>
    <x v="1"/>
    <x v="6"/>
    <n v="7"/>
    <n v="0"/>
    <x v="1"/>
  </r>
  <r>
    <x v="1"/>
    <x v="185"/>
    <x v="1"/>
    <n v="5"/>
    <n v="0"/>
    <x v="1"/>
    <x v="1"/>
    <x v="1"/>
    <x v="1"/>
    <x v="6"/>
    <n v="7"/>
    <n v="0"/>
    <x v="1"/>
  </r>
  <r>
    <x v="1"/>
    <x v="186"/>
    <x v="1"/>
    <n v="5"/>
    <n v="0"/>
    <x v="1"/>
    <x v="1"/>
    <x v="1"/>
    <x v="1"/>
    <x v="6"/>
    <n v="7"/>
    <n v="0"/>
    <x v="1"/>
  </r>
  <r>
    <x v="1"/>
    <x v="187"/>
    <x v="1"/>
    <n v="5"/>
    <n v="0"/>
    <x v="1"/>
    <x v="1"/>
    <x v="1"/>
    <x v="1"/>
    <x v="6"/>
    <n v="7"/>
    <n v="0"/>
    <x v="1"/>
  </r>
  <r>
    <x v="1"/>
    <x v="188"/>
    <x v="1"/>
    <n v="5"/>
    <n v="0"/>
    <x v="1"/>
    <x v="1"/>
    <x v="1"/>
    <x v="1"/>
    <x v="6"/>
    <n v="7"/>
    <n v="0"/>
    <x v="1"/>
  </r>
  <r>
    <x v="1"/>
    <x v="188"/>
    <x v="4"/>
    <n v="193"/>
    <n v="0"/>
    <x v="126"/>
    <x v="4"/>
    <x v="2"/>
    <x v="1"/>
    <x v="6"/>
    <n v="7"/>
    <n v="0"/>
    <x v="126"/>
  </r>
  <r>
    <x v="1"/>
    <x v="189"/>
    <x v="19"/>
    <n v="130.80000000000001"/>
    <n v="0"/>
    <x v="127"/>
    <x v="7"/>
    <x v="4"/>
    <x v="1"/>
    <x v="6"/>
    <n v="7"/>
    <n v="0"/>
    <x v="127"/>
  </r>
  <r>
    <x v="1"/>
    <x v="189"/>
    <x v="26"/>
    <n v="181.39999999999998"/>
    <n v="0"/>
    <x v="128"/>
    <x v="15"/>
    <x v="4"/>
    <x v="1"/>
    <x v="6"/>
    <n v="7"/>
    <n v="0"/>
    <x v="128"/>
  </r>
  <r>
    <x v="1"/>
    <x v="190"/>
    <x v="8"/>
    <n v="151.19999999999999"/>
    <n v="0"/>
    <x v="129"/>
    <x v="7"/>
    <x v="4"/>
    <x v="1"/>
    <x v="6"/>
    <n v="7"/>
    <n v="0"/>
    <x v="129"/>
  </r>
  <r>
    <x v="1"/>
    <x v="190"/>
    <x v="10"/>
    <n v="29.300000000000004"/>
    <n v="0"/>
    <x v="130"/>
    <x v="9"/>
    <x v="3"/>
    <x v="1"/>
    <x v="6"/>
    <n v="7"/>
    <n v="0"/>
    <x v="130"/>
  </r>
  <r>
    <x v="1"/>
    <x v="190"/>
    <x v="24"/>
    <n v="15"/>
    <n v="0"/>
    <x v="63"/>
    <x v="8"/>
    <x v="1"/>
    <x v="1"/>
    <x v="6"/>
    <n v="7"/>
    <n v="0"/>
    <x v="63"/>
  </r>
  <r>
    <x v="1"/>
    <x v="191"/>
    <x v="1"/>
    <n v="5"/>
    <n v="0"/>
    <x v="1"/>
    <x v="1"/>
    <x v="1"/>
    <x v="1"/>
    <x v="6"/>
    <n v="7"/>
    <n v="0"/>
    <x v="1"/>
  </r>
  <r>
    <x v="1"/>
    <x v="192"/>
    <x v="1"/>
    <n v="5"/>
    <n v="0"/>
    <x v="1"/>
    <x v="1"/>
    <x v="1"/>
    <x v="1"/>
    <x v="7"/>
    <n v="8"/>
    <n v="0"/>
    <x v="1"/>
  </r>
  <r>
    <x v="0"/>
    <x v="192"/>
    <x v="0"/>
    <n v="0"/>
    <n v="4000"/>
    <x v="0"/>
    <x v="0"/>
    <x v="0"/>
    <x v="0"/>
    <x v="7"/>
    <n v="8"/>
    <n v="4000"/>
    <x v="0"/>
  </r>
  <r>
    <x v="1"/>
    <x v="193"/>
    <x v="1"/>
    <n v="5"/>
    <n v="0"/>
    <x v="1"/>
    <x v="1"/>
    <x v="1"/>
    <x v="1"/>
    <x v="7"/>
    <n v="8"/>
    <n v="0"/>
    <x v="1"/>
  </r>
  <r>
    <x v="0"/>
    <x v="194"/>
    <x v="2"/>
    <n v="900"/>
    <n v="0"/>
    <x v="2"/>
    <x v="2"/>
    <x v="2"/>
    <x v="1"/>
    <x v="7"/>
    <n v="8"/>
    <n v="0"/>
    <x v="2"/>
  </r>
  <r>
    <x v="0"/>
    <x v="194"/>
    <x v="3"/>
    <n v="150"/>
    <n v="0"/>
    <x v="3"/>
    <x v="3"/>
    <x v="3"/>
    <x v="1"/>
    <x v="7"/>
    <n v="8"/>
    <n v="0"/>
    <x v="3"/>
  </r>
  <r>
    <x v="1"/>
    <x v="194"/>
    <x v="1"/>
    <n v="5"/>
    <n v="0"/>
    <x v="1"/>
    <x v="1"/>
    <x v="1"/>
    <x v="1"/>
    <x v="7"/>
    <n v="8"/>
    <n v="0"/>
    <x v="1"/>
  </r>
  <r>
    <x v="1"/>
    <x v="195"/>
    <x v="1"/>
    <n v="5"/>
    <n v="0"/>
    <x v="1"/>
    <x v="1"/>
    <x v="1"/>
    <x v="1"/>
    <x v="7"/>
    <n v="8"/>
    <n v="0"/>
    <x v="1"/>
  </r>
  <r>
    <x v="1"/>
    <x v="196"/>
    <x v="1"/>
    <n v="5"/>
    <n v="0"/>
    <x v="1"/>
    <x v="1"/>
    <x v="1"/>
    <x v="1"/>
    <x v="7"/>
    <n v="8"/>
    <n v="0"/>
    <x v="1"/>
  </r>
  <r>
    <x v="1"/>
    <x v="196"/>
    <x v="4"/>
    <n v="137"/>
    <n v="0"/>
    <x v="43"/>
    <x v="4"/>
    <x v="2"/>
    <x v="1"/>
    <x v="7"/>
    <n v="8"/>
    <n v="0"/>
    <x v="43"/>
  </r>
  <r>
    <x v="0"/>
    <x v="197"/>
    <x v="5"/>
    <n v="57"/>
    <n v="0"/>
    <x v="131"/>
    <x v="5"/>
    <x v="2"/>
    <x v="1"/>
    <x v="7"/>
    <n v="8"/>
    <n v="0"/>
    <x v="131"/>
  </r>
  <r>
    <x v="1"/>
    <x v="197"/>
    <x v="1"/>
    <n v="5"/>
    <n v="0"/>
    <x v="1"/>
    <x v="1"/>
    <x v="1"/>
    <x v="1"/>
    <x v="7"/>
    <n v="8"/>
    <n v="0"/>
    <x v="1"/>
  </r>
  <r>
    <x v="1"/>
    <x v="198"/>
    <x v="1"/>
    <n v="5"/>
    <n v="0"/>
    <x v="1"/>
    <x v="1"/>
    <x v="1"/>
    <x v="1"/>
    <x v="7"/>
    <n v="8"/>
    <n v="0"/>
    <x v="1"/>
  </r>
  <r>
    <x v="1"/>
    <x v="199"/>
    <x v="6"/>
    <n v="84.199999999999989"/>
    <n v="0"/>
    <x v="132"/>
    <x v="6"/>
    <x v="3"/>
    <x v="1"/>
    <x v="7"/>
    <n v="8"/>
    <n v="0"/>
    <x v="132"/>
  </r>
  <r>
    <x v="1"/>
    <x v="199"/>
    <x v="1"/>
    <n v="5"/>
    <n v="0"/>
    <x v="1"/>
    <x v="1"/>
    <x v="1"/>
    <x v="1"/>
    <x v="7"/>
    <n v="8"/>
    <n v="0"/>
    <x v="1"/>
  </r>
  <r>
    <x v="1"/>
    <x v="200"/>
    <x v="1"/>
    <n v="5"/>
    <n v="0"/>
    <x v="1"/>
    <x v="1"/>
    <x v="1"/>
    <x v="1"/>
    <x v="7"/>
    <n v="8"/>
    <n v="0"/>
    <x v="1"/>
  </r>
  <r>
    <x v="1"/>
    <x v="201"/>
    <x v="4"/>
    <n v="142.1"/>
    <n v="0"/>
    <x v="133"/>
    <x v="4"/>
    <x v="2"/>
    <x v="1"/>
    <x v="7"/>
    <n v="8"/>
    <n v="0"/>
    <x v="133"/>
  </r>
  <r>
    <x v="1"/>
    <x v="201"/>
    <x v="1"/>
    <n v="5"/>
    <n v="0"/>
    <x v="1"/>
    <x v="1"/>
    <x v="1"/>
    <x v="1"/>
    <x v="7"/>
    <n v="8"/>
    <n v="0"/>
    <x v="1"/>
  </r>
  <r>
    <x v="1"/>
    <x v="202"/>
    <x v="1"/>
    <n v="5"/>
    <n v="0"/>
    <x v="1"/>
    <x v="1"/>
    <x v="1"/>
    <x v="1"/>
    <x v="7"/>
    <n v="8"/>
    <n v="0"/>
    <x v="1"/>
  </r>
  <r>
    <x v="1"/>
    <x v="202"/>
    <x v="7"/>
    <n v="46.8"/>
    <n v="0"/>
    <x v="53"/>
    <x v="3"/>
    <x v="4"/>
    <x v="1"/>
    <x v="7"/>
    <n v="8"/>
    <n v="0"/>
    <x v="53"/>
  </r>
  <r>
    <x v="1"/>
    <x v="202"/>
    <x v="8"/>
    <n v="104.70000000000002"/>
    <n v="0"/>
    <x v="134"/>
    <x v="7"/>
    <x v="4"/>
    <x v="1"/>
    <x v="7"/>
    <n v="8"/>
    <n v="0"/>
    <x v="134"/>
  </r>
  <r>
    <x v="1"/>
    <x v="202"/>
    <x v="9"/>
    <n v="59.1"/>
    <n v="0"/>
    <x v="135"/>
    <x v="8"/>
    <x v="1"/>
    <x v="1"/>
    <x v="7"/>
    <n v="8"/>
    <n v="0"/>
    <x v="135"/>
  </r>
  <r>
    <x v="1"/>
    <x v="203"/>
    <x v="10"/>
    <n v="35.1"/>
    <n v="0"/>
    <x v="136"/>
    <x v="9"/>
    <x v="3"/>
    <x v="1"/>
    <x v="7"/>
    <n v="8"/>
    <n v="0"/>
    <x v="136"/>
  </r>
  <r>
    <x v="0"/>
    <x v="204"/>
    <x v="11"/>
    <n v="30"/>
    <n v="0"/>
    <x v="12"/>
    <x v="10"/>
    <x v="4"/>
    <x v="1"/>
    <x v="7"/>
    <n v="8"/>
    <n v="0"/>
    <x v="12"/>
  </r>
  <r>
    <x v="1"/>
    <x v="204"/>
    <x v="1"/>
    <n v="5"/>
    <n v="0"/>
    <x v="1"/>
    <x v="1"/>
    <x v="1"/>
    <x v="1"/>
    <x v="7"/>
    <n v="8"/>
    <n v="0"/>
    <x v="1"/>
  </r>
  <r>
    <x v="1"/>
    <x v="205"/>
    <x v="1"/>
    <n v="5"/>
    <n v="0"/>
    <x v="1"/>
    <x v="1"/>
    <x v="1"/>
    <x v="1"/>
    <x v="7"/>
    <n v="8"/>
    <n v="0"/>
    <x v="1"/>
  </r>
  <r>
    <x v="0"/>
    <x v="205"/>
    <x v="13"/>
    <n v="40"/>
    <n v="0"/>
    <x v="8"/>
    <x v="12"/>
    <x v="2"/>
    <x v="1"/>
    <x v="7"/>
    <n v="8"/>
    <n v="0"/>
    <x v="8"/>
  </r>
  <r>
    <x v="1"/>
    <x v="206"/>
    <x v="14"/>
    <n v="52.1"/>
    <n v="0"/>
    <x v="47"/>
    <x v="13"/>
    <x v="4"/>
    <x v="1"/>
    <x v="7"/>
    <n v="8"/>
    <n v="0"/>
    <x v="47"/>
  </r>
  <r>
    <x v="1"/>
    <x v="206"/>
    <x v="15"/>
    <n v="35"/>
    <n v="0"/>
    <x v="35"/>
    <x v="3"/>
    <x v="4"/>
    <x v="1"/>
    <x v="7"/>
    <n v="8"/>
    <n v="0"/>
    <x v="35"/>
  </r>
  <r>
    <x v="1"/>
    <x v="206"/>
    <x v="1"/>
    <n v="5"/>
    <n v="0"/>
    <x v="1"/>
    <x v="1"/>
    <x v="1"/>
    <x v="1"/>
    <x v="7"/>
    <n v="8"/>
    <n v="0"/>
    <x v="1"/>
  </r>
  <r>
    <x v="1"/>
    <x v="207"/>
    <x v="1"/>
    <n v="5"/>
    <n v="0"/>
    <x v="1"/>
    <x v="1"/>
    <x v="1"/>
    <x v="1"/>
    <x v="7"/>
    <n v="8"/>
    <n v="0"/>
    <x v="1"/>
  </r>
  <r>
    <x v="1"/>
    <x v="208"/>
    <x v="1"/>
    <n v="5"/>
    <n v="0"/>
    <x v="1"/>
    <x v="1"/>
    <x v="1"/>
    <x v="1"/>
    <x v="7"/>
    <n v="8"/>
    <n v="0"/>
    <x v="1"/>
  </r>
  <r>
    <x v="1"/>
    <x v="208"/>
    <x v="4"/>
    <n v="177"/>
    <n v="0"/>
    <x v="137"/>
    <x v="4"/>
    <x v="2"/>
    <x v="1"/>
    <x v="7"/>
    <n v="8"/>
    <n v="0"/>
    <x v="137"/>
  </r>
  <r>
    <x v="1"/>
    <x v="209"/>
    <x v="16"/>
    <n v="44.2"/>
    <n v="0"/>
    <x v="138"/>
    <x v="8"/>
    <x v="1"/>
    <x v="1"/>
    <x v="7"/>
    <n v="8"/>
    <n v="0"/>
    <x v="138"/>
  </r>
  <r>
    <x v="1"/>
    <x v="210"/>
    <x v="17"/>
    <n v="19.2"/>
    <n v="0"/>
    <x v="139"/>
    <x v="8"/>
    <x v="1"/>
    <x v="1"/>
    <x v="7"/>
    <n v="8"/>
    <n v="0"/>
    <x v="139"/>
  </r>
  <r>
    <x v="0"/>
    <x v="211"/>
    <x v="18"/>
    <n v="55"/>
    <n v="0"/>
    <x v="39"/>
    <x v="14"/>
    <x v="6"/>
    <x v="1"/>
    <x v="7"/>
    <n v="8"/>
    <n v="0"/>
    <x v="39"/>
  </r>
  <r>
    <x v="1"/>
    <x v="211"/>
    <x v="6"/>
    <n v="69.700000000000017"/>
    <n v="0"/>
    <x v="140"/>
    <x v="6"/>
    <x v="3"/>
    <x v="1"/>
    <x v="7"/>
    <n v="8"/>
    <n v="0"/>
    <x v="140"/>
  </r>
  <r>
    <x v="1"/>
    <x v="211"/>
    <x v="1"/>
    <n v="5"/>
    <n v="0"/>
    <x v="1"/>
    <x v="1"/>
    <x v="1"/>
    <x v="1"/>
    <x v="7"/>
    <n v="8"/>
    <n v="0"/>
    <x v="1"/>
  </r>
  <r>
    <x v="1"/>
    <x v="212"/>
    <x v="1"/>
    <n v="5"/>
    <n v="0"/>
    <x v="1"/>
    <x v="1"/>
    <x v="1"/>
    <x v="1"/>
    <x v="7"/>
    <n v="8"/>
    <n v="0"/>
    <x v="1"/>
  </r>
  <r>
    <x v="1"/>
    <x v="213"/>
    <x v="1"/>
    <n v="5"/>
    <n v="0"/>
    <x v="1"/>
    <x v="1"/>
    <x v="1"/>
    <x v="1"/>
    <x v="7"/>
    <n v="8"/>
    <n v="0"/>
    <x v="1"/>
  </r>
  <r>
    <x v="1"/>
    <x v="214"/>
    <x v="1"/>
    <n v="5"/>
    <n v="0"/>
    <x v="1"/>
    <x v="1"/>
    <x v="1"/>
    <x v="1"/>
    <x v="7"/>
    <n v="8"/>
    <n v="0"/>
    <x v="1"/>
  </r>
  <r>
    <x v="1"/>
    <x v="215"/>
    <x v="1"/>
    <n v="5"/>
    <n v="0"/>
    <x v="1"/>
    <x v="1"/>
    <x v="1"/>
    <x v="1"/>
    <x v="7"/>
    <n v="8"/>
    <n v="0"/>
    <x v="1"/>
  </r>
  <r>
    <x v="1"/>
    <x v="215"/>
    <x v="4"/>
    <n v="117"/>
    <n v="0"/>
    <x v="141"/>
    <x v="4"/>
    <x v="2"/>
    <x v="1"/>
    <x v="7"/>
    <n v="8"/>
    <n v="0"/>
    <x v="141"/>
  </r>
  <r>
    <x v="1"/>
    <x v="216"/>
    <x v="19"/>
    <n v="131.9"/>
    <n v="0"/>
    <x v="142"/>
    <x v="7"/>
    <x v="4"/>
    <x v="1"/>
    <x v="7"/>
    <n v="8"/>
    <n v="0"/>
    <x v="142"/>
  </r>
  <r>
    <x v="1"/>
    <x v="216"/>
    <x v="20"/>
    <n v="182.39999999999998"/>
    <n v="0"/>
    <x v="143"/>
    <x v="3"/>
    <x v="4"/>
    <x v="1"/>
    <x v="7"/>
    <n v="8"/>
    <n v="0"/>
    <x v="143"/>
  </r>
  <r>
    <x v="1"/>
    <x v="217"/>
    <x v="8"/>
    <n v="152.29999999999998"/>
    <n v="0"/>
    <x v="144"/>
    <x v="7"/>
    <x v="4"/>
    <x v="1"/>
    <x v="7"/>
    <n v="8"/>
    <n v="0"/>
    <x v="144"/>
  </r>
  <r>
    <x v="1"/>
    <x v="217"/>
    <x v="10"/>
    <n v="30.300000000000004"/>
    <n v="0"/>
    <x v="145"/>
    <x v="9"/>
    <x v="3"/>
    <x v="1"/>
    <x v="7"/>
    <n v="8"/>
    <n v="0"/>
    <x v="145"/>
  </r>
  <r>
    <x v="1"/>
    <x v="217"/>
    <x v="24"/>
    <n v="15"/>
    <n v="0"/>
    <x v="63"/>
    <x v="8"/>
    <x v="1"/>
    <x v="1"/>
    <x v="7"/>
    <n v="8"/>
    <n v="0"/>
    <x v="63"/>
  </r>
  <r>
    <x v="1"/>
    <x v="218"/>
    <x v="1"/>
    <n v="5"/>
    <n v="0"/>
    <x v="1"/>
    <x v="1"/>
    <x v="1"/>
    <x v="1"/>
    <x v="7"/>
    <n v="8"/>
    <n v="0"/>
    <x v="1"/>
  </r>
  <r>
    <x v="1"/>
    <x v="219"/>
    <x v="1"/>
    <n v="5"/>
    <n v="0"/>
    <x v="1"/>
    <x v="1"/>
    <x v="1"/>
    <x v="1"/>
    <x v="8"/>
    <n v="9"/>
    <n v="0"/>
    <x v="1"/>
  </r>
  <r>
    <x v="0"/>
    <x v="219"/>
    <x v="0"/>
    <n v="0"/>
    <n v="4000"/>
    <x v="0"/>
    <x v="0"/>
    <x v="0"/>
    <x v="0"/>
    <x v="8"/>
    <n v="9"/>
    <n v="4000"/>
    <x v="0"/>
  </r>
  <r>
    <x v="1"/>
    <x v="220"/>
    <x v="1"/>
    <n v="5"/>
    <n v="0"/>
    <x v="1"/>
    <x v="1"/>
    <x v="1"/>
    <x v="1"/>
    <x v="8"/>
    <n v="9"/>
    <n v="0"/>
    <x v="1"/>
  </r>
  <r>
    <x v="0"/>
    <x v="221"/>
    <x v="2"/>
    <n v="900"/>
    <n v="0"/>
    <x v="2"/>
    <x v="2"/>
    <x v="2"/>
    <x v="1"/>
    <x v="8"/>
    <n v="9"/>
    <n v="0"/>
    <x v="2"/>
  </r>
  <r>
    <x v="0"/>
    <x v="221"/>
    <x v="3"/>
    <n v="150"/>
    <n v="0"/>
    <x v="3"/>
    <x v="3"/>
    <x v="3"/>
    <x v="1"/>
    <x v="8"/>
    <n v="9"/>
    <n v="0"/>
    <x v="3"/>
  </r>
  <r>
    <x v="1"/>
    <x v="221"/>
    <x v="1"/>
    <n v="5"/>
    <n v="0"/>
    <x v="1"/>
    <x v="1"/>
    <x v="1"/>
    <x v="1"/>
    <x v="8"/>
    <n v="9"/>
    <n v="0"/>
    <x v="1"/>
  </r>
  <r>
    <x v="1"/>
    <x v="222"/>
    <x v="1"/>
    <n v="5"/>
    <n v="0"/>
    <x v="1"/>
    <x v="1"/>
    <x v="1"/>
    <x v="1"/>
    <x v="8"/>
    <n v="9"/>
    <n v="0"/>
    <x v="1"/>
  </r>
  <r>
    <x v="1"/>
    <x v="223"/>
    <x v="1"/>
    <n v="5"/>
    <n v="0"/>
    <x v="1"/>
    <x v="1"/>
    <x v="1"/>
    <x v="1"/>
    <x v="8"/>
    <n v="9"/>
    <n v="0"/>
    <x v="1"/>
  </r>
  <r>
    <x v="1"/>
    <x v="223"/>
    <x v="4"/>
    <n v="163.39999999999998"/>
    <n v="0"/>
    <x v="146"/>
    <x v="4"/>
    <x v="2"/>
    <x v="1"/>
    <x v="8"/>
    <n v="9"/>
    <n v="0"/>
    <x v="146"/>
  </r>
  <r>
    <x v="0"/>
    <x v="224"/>
    <x v="5"/>
    <n v="58.1"/>
    <n v="0"/>
    <x v="147"/>
    <x v="5"/>
    <x v="2"/>
    <x v="1"/>
    <x v="8"/>
    <n v="9"/>
    <n v="0"/>
    <x v="147"/>
  </r>
  <r>
    <x v="1"/>
    <x v="224"/>
    <x v="1"/>
    <n v="5"/>
    <n v="0"/>
    <x v="1"/>
    <x v="1"/>
    <x v="1"/>
    <x v="1"/>
    <x v="8"/>
    <n v="9"/>
    <n v="0"/>
    <x v="1"/>
  </r>
  <r>
    <x v="1"/>
    <x v="225"/>
    <x v="1"/>
    <n v="5"/>
    <n v="0"/>
    <x v="1"/>
    <x v="1"/>
    <x v="1"/>
    <x v="1"/>
    <x v="8"/>
    <n v="9"/>
    <n v="0"/>
    <x v="1"/>
  </r>
  <r>
    <x v="1"/>
    <x v="226"/>
    <x v="6"/>
    <n v="85.299999999999983"/>
    <n v="0"/>
    <x v="148"/>
    <x v="6"/>
    <x v="3"/>
    <x v="1"/>
    <x v="8"/>
    <n v="9"/>
    <n v="0"/>
    <x v="148"/>
  </r>
  <r>
    <x v="1"/>
    <x v="226"/>
    <x v="1"/>
    <n v="5"/>
    <n v="0"/>
    <x v="1"/>
    <x v="1"/>
    <x v="1"/>
    <x v="1"/>
    <x v="8"/>
    <n v="9"/>
    <n v="0"/>
    <x v="1"/>
  </r>
  <r>
    <x v="1"/>
    <x v="227"/>
    <x v="1"/>
    <n v="5"/>
    <n v="0"/>
    <x v="1"/>
    <x v="1"/>
    <x v="1"/>
    <x v="1"/>
    <x v="8"/>
    <n v="9"/>
    <n v="0"/>
    <x v="1"/>
  </r>
  <r>
    <x v="1"/>
    <x v="228"/>
    <x v="4"/>
    <n v="143"/>
    <n v="0"/>
    <x v="149"/>
    <x v="4"/>
    <x v="2"/>
    <x v="1"/>
    <x v="8"/>
    <n v="9"/>
    <n v="0"/>
    <x v="149"/>
  </r>
  <r>
    <x v="1"/>
    <x v="228"/>
    <x v="1"/>
    <n v="5"/>
    <n v="0"/>
    <x v="1"/>
    <x v="1"/>
    <x v="1"/>
    <x v="1"/>
    <x v="8"/>
    <n v="9"/>
    <n v="0"/>
    <x v="1"/>
  </r>
  <r>
    <x v="1"/>
    <x v="229"/>
    <x v="1"/>
    <n v="5"/>
    <n v="0"/>
    <x v="1"/>
    <x v="1"/>
    <x v="1"/>
    <x v="1"/>
    <x v="8"/>
    <n v="9"/>
    <n v="0"/>
    <x v="1"/>
  </r>
  <r>
    <x v="1"/>
    <x v="229"/>
    <x v="7"/>
    <n v="47.8"/>
    <n v="0"/>
    <x v="150"/>
    <x v="3"/>
    <x v="4"/>
    <x v="1"/>
    <x v="8"/>
    <n v="9"/>
    <n v="0"/>
    <x v="150"/>
  </r>
  <r>
    <x v="1"/>
    <x v="229"/>
    <x v="8"/>
    <n v="105.80000000000001"/>
    <n v="0"/>
    <x v="151"/>
    <x v="7"/>
    <x v="4"/>
    <x v="1"/>
    <x v="8"/>
    <n v="9"/>
    <n v="0"/>
    <x v="151"/>
  </r>
  <r>
    <x v="1"/>
    <x v="229"/>
    <x v="9"/>
    <n v="60.1"/>
    <n v="0"/>
    <x v="152"/>
    <x v="8"/>
    <x v="1"/>
    <x v="1"/>
    <x v="8"/>
    <n v="9"/>
    <n v="0"/>
    <x v="152"/>
  </r>
  <r>
    <x v="1"/>
    <x v="230"/>
    <x v="10"/>
    <n v="36.200000000000003"/>
    <n v="0"/>
    <x v="153"/>
    <x v="9"/>
    <x v="3"/>
    <x v="1"/>
    <x v="8"/>
    <n v="9"/>
    <n v="0"/>
    <x v="153"/>
  </r>
  <r>
    <x v="0"/>
    <x v="231"/>
    <x v="11"/>
    <n v="30"/>
    <n v="0"/>
    <x v="12"/>
    <x v="10"/>
    <x v="4"/>
    <x v="1"/>
    <x v="8"/>
    <n v="9"/>
    <n v="0"/>
    <x v="12"/>
  </r>
  <r>
    <x v="1"/>
    <x v="231"/>
    <x v="1"/>
    <n v="5"/>
    <n v="0"/>
    <x v="1"/>
    <x v="1"/>
    <x v="1"/>
    <x v="1"/>
    <x v="8"/>
    <n v="9"/>
    <n v="0"/>
    <x v="1"/>
  </r>
  <r>
    <x v="1"/>
    <x v="232"/>
    <x v="1"/>
    <n v="5"/>
    <n v="0"/>
    <x v="1"/>
    <x v="1"/>
    <x v="1"/>
    <x v="1"/>
    <x v="8"/>
    <n v="9"/>
    <n v="0"/>
    <x v="1"/>
  </r>
  <r>
    <x v="0"/>
    <x v="232"/>
    <x v="13"/>
    <n v="40"/>
    <n v="0"/>
    <x v="8"/>
    <x v="12"/>
    <x v="2"/>
    <x v="1"/>
    <x v="8"/>
    <n v="9"/>
    <n v="0"/>
    <x v="8"/>
  </r>
  <r>
    <x v="1"/>
    <x v="233"/>
    <x v="14"/>
    <n v="53"/>
    <n v="0"/>
    <x v="32"/>
    <x v="13"/>
    <x v="4"/>
    <x v="1"/>
    <x v="8"/>
    <n v="9"/>
    <n v="0"/>
    <x v="32"/>
  </r>
  <r>
    <x v="1"/>
    <x v="233"/>
    <x v="15"/>
    <n v="35"/>
    <n v="0"/>
    <x v="35"/>
    <x v="3"/>
    <x v="4"/>
    <x v="1"/>
    <x v="8"/>
    <n v="9"/>
    <n v="0"/>
    <x v="35"/>
  </r>
  <r>
    <x v="1"/>
    <x v="233"/>
    <x v="1"/>
    <n v="5"/>
    <n v="0"/>
    <x v="1"/>
    <x v="1"/>
    <x v="1"/>
    <x v="1"/>
    <x v="8"/>
    <n v="9"/>
    <n v="0"/>
    <x v="1"/>
  </r>
  <r>
    <x v="1"/>
    <x v="234"/>
    <x v="1"/>
    <n v="5"/>
    <n v="0"/>
    <x v="1"/>
    <x v="1"/>
    <x v="1"/>
    <x v="1"/>
    <x v="8"/>
    <n v="9"/>
    <n v="0"/>
    <x v="1"/>
  </r>
  <r>
    <x v="1"/>
    <x v="235"/>
    <x v="1"/>
    <n v="5"/>
    <n v="0"/>
    <x v="1"/>
    <x v="1"/>
    <x v="1"/>
    <x v="1"/>
    <x v="8"/>
    <n v="9"/>
    <n v="0"/>
    <x v="1"/>
  </r>
  <r>
    <x v="1"/>
    <x v="235"/>
    <x v="4"/>
    <n v="177.9"/>
    <n v="0"/>
    <x v="154"/>
    <x v="4"/>
    <x v="2"/>
    <x v="1"/>
    <x v="8"/>
    <n v="9"/>
    <n v="0"/>
    <x v="154"/>
  </r>
  <r>
    <x v="1"/>
    <x v="236"/>
    <x v="16"/>
    <n v="45.300000000000004"/>
    <n v="0"/>
    <x v="155"/>
    <x v="8"/>
    <x v="1"/>
    <x v="1"/>
    <x v="8"/>
    <n v="9"/>
    <n v="0"/>
    <x v="155"/>
  </r>
  <r>
    <x v="1"/>
    <x v="237"/>
    <x v="17"/>
    <n v="20.099999999999998"/>
    <n v="0"/>
    <x v="156"/>
    <x v="8"/>
    <x v="1"/>
    <x v="1"/>
    <x v="8"/>
    <n v="9"/>
    <n v="0"/>
    <x v="156"/>
  </r>
  <r>
    <x v="0"/>
    <x v="238"/>
    <x v="18"/>
    <n v="55"/>
    <n v="0"/>
    <x v="39"/>
    <x v="14"/>
    <x v="6"/>
    <x v="1"/>
    <x v="8"/>
    <n v="9"/>
    <n v="0"/>
    <x v="39"/>
  </r>
  <r>
    <x v="1"/>
    <x v="238"/>
    <x v="6"/>
    <n v="70.600000000000023"/>
    <n v="0"/>
    <x v="157"/>
    <x v="6"/>
    <x v="3"/>
    <x v="1"/>
    <x v="8"/>
    <n v="9"/>
    <n v="0"/>
    <x v="157"/>
  </r>
  <r>
    <x v="1"/>
    <x v="238"/>
    <x v="1"/>
    <n v="5"/>
    <n v="0"/>
    <x v="1"/>
    <x v="1"/>
    <x v="1"/>
    <x v="1"/>
    <x v="8"/>
    <n v="9"/>
    <n v="0"/>
    <x v="1"/>
  </r>
  <r>
    <x v="1"/>
    <x v="239"/>
    <x v="1"/>
    <n v="5"/>
    <n v="0"/>
    <x v="1"/>
    <x v="1"/>
    <x v="1"/>
    <x v="1"/>
    <x v="8"/>
    <n v="9"/>
    <n v="0"/>
    <x v="1"/>
  </r>
  <r>
    <x v="1"/>
    <x v="240"/>
    <x v="1"/>
    <n v="5"/>
    <n v="0"/>
    <x v="1"/>
    <x v="1"/>
    <x v="1"/>
    <x v="1"/>
    <x v="8"/>
    <n v="9"/>
    <n v="0"/>
    <x v="1"/>
  </r>
  <r>
    <x v="1"/>
    <x v="241"/>
    <x v="1"/>
    <n v="5"/>
    <n v="0"/>
    <x v="1"/>
    <x v="1"/>
    <x v="1"/>
    <x v="1"/>
    <x v="8"/>
    <n v="9"/>
    <n v="0"/>
    <x v="1"/>
  </r>
  <r>
    <x v="1"/>
    <x v="242"/>
    <x v="1"/>
    <n v="5"/>
    <n v="0"/>
    <x v="1"/>
    <x v="1"/>
    <x v="1"/>
    <x v="1"/>
    <x v="8"/>
    <n v="9"/>
    <n v="0"/>
    <x v="1"/>
  </r>
  <r>
    <x v="1"/>
    <x v="242"/>
    <x v="4"/>
    <n v="223"/>
    <n v="0"/>
    <x v="158"/>
    <x v="4"/>
    <x v="2"/>
    <x v="1"/>
    <x v="8"/>
    <n v="9"/>
    <n v="0"/>
    <x v="158"/>
  </r>
  <r>
    <x v="1"/>
    <x v="243"/>
    <x v="19"/>
    <n v="132.9"/>
    <n v="0"/>
    <x v="159"/>
    <x v="7"/>
    <x v="4"/>
    <x v="1"/>
    <x v="8"/>
    <n v="9"/>
    <n v="0"/>
    <x v="159"/>
  </r>
  <r>
    <x v="1"/>
    <x v="243"/>
    <x v="21"/>
    <n v="175"/>
    <n v="0"/>
    <x v="23"/>
    <x v="7"/>
    <x v="4"/>
    <x v="1"/>
    <x v="8"/>
    <n v="9"/>
    <n v="0"/>
    <x v="23"/>
  </r>
  <r>
    <x v="1"/>
    <x v="244"/>
    <x v="8"/>
    <n v="153.39999999999998"/>
    <n v="0"/>
    <x v="160"/>
    <x v="7"/>
    <x v="4"/>
    <x v="1"/>
    <x v="8"/>
    <n v="9"/>
    <n v="0"/>
    <x v="160"/>
  </r>
  <r>
    <x v="1"/>
    <x v="244"/>
    <x v="10"/>
    <n v="31.200000000000003"/>
    <n v="0"/>
    <x v="161"/>
    <x v="9"/>
    <x v="3"/>
    <x v="1"/>
    <x v="8"/>
    <n v="9"/>
    <n v="0"/>
    <x v="161"/>
  </r>
  <r>
    <x v="1"/>
    <x v="244"/>
    <x v="24"/>
    <n v="15"/>
    <n v="0"/>
    <x v="63"/>
    <x v="8"/>
    <x v="1"/>
    <x v="1"/>
    <x v="8"/>
    <n v="9"/>
    <n v="0"/>
    <x v="63"/>
  </r>
  <r>
    <x v="1"/>
    <x v="245"/>
    <x v="1"/>
    <n v="5"/>
    <n v="0"/>
    <x v="1"/>
    <x v="1"/>
    <x v="1"/>
    <x v="1"/>
    <x v="9"/>
    <n v="10"/>
    <n v="0"/>
    <x v="1"/>
  </r>
  <r>
    <x v="1"/>
    <x v="246"/>
    <x v="1"/>
    <n v="5"/>
    <n v="0"/>
    <x v="1"/>
    <x v="1"/>
    <x v="1"/>
    <x v="1"/>
    <x v="9"/>
    <n v="10"/>
    <n v="0"/>
    <x v="1"/>
  </r>
  <r>
    <x v="0"/>
    <x v="246"/>
    <x v="0"/>
    <n v="0"/>
    <n v="4000"/>
    <x v="0"/>
    <x v="0"/>
    <x v="0"/>
    <x v="0"/>
    <x v="9"/>
    <n v="10"/>
    <n v="4000"/>
    <x v="0"/>
  </r>
  <r>
    <x v="1"/>
    <x v="247"/>
    <x v="1"/>
    <n v="5"/>
    <n v="0"/>
    <x v="1"/>
    <x v="1"/>
    <x v="1"/>
    <x v="1"/>
    <x v="9"/>
    <n v="10"/>
    <n v="0"/>
    <x v="1"/>
  </r>
  <r>
    <x v="0"/>
    <x v="248"/>
    <x v="2"/>
    <n v="900"/>
    <n v="0"/>
    <x v="2"/>
    <x v="2"/>
    <x v="2"/>
    <x v="1"/>
    <x v="9"/>
    <n v="10"/>
    <n v="0"/>
    <x v="2"/>
  </r>
  <r>
    <x v="0"/>
    <x v="248"/>
    <x v="3"/>
    <n v="150"/>
    <n v="0"/>
    <x v="3"/>
    <x v="3"/>
    <x v="3"/>
    <x v="1"/>
    <x v="9"/>
    <n v="10"/>
    <n v="0"/>
    <x v="3"/>
  </r>
  <r>
    <x v="1"/>
    <x v="248"/>
    <x v="1"/>
    <n v="5"/>
    <n v="0"/>
    <x v="1"/>
    <x v="1"/>
    <x v="1"/>
    <x v="1"/>
    <x v="9"/>
    <n v="10"/>
    <n v="0"/>
    <x v="1"/>
  </r>
  <r>
    <x v="1"/>
    <x v="249"/>
    <x v="1"/>
    <n v="5"/>
    <n v="0"/>
    <x v="1"/>
    <x v="1"/>
    <x v="1"/>
    <x v="1"/>
    <x v="9"/>
    <n v="10"/>
    <n v="0"/>
    <x v="1"/>
  </r>
  <r>
    <x v="1"/>
    <x v="250"/>
    <x v="1"/>
    <n v="5"/>
    <n v="0"/>
    <x v="1"/>
    <x v="1"/>
    <x v="1"/>
    <x v="1"/>
    <x v="9"/>
    <n v="10"/>
    <n v="0"/>
    <x v="1"/>
  </r>
  <r>
    <x v="1"/>
    <x v="250"/>
    <x v="4"/>
    <n v="105"/>
    <n v="0"/>
    <x v="162"/>
    <x v="4"/>
    <x v="2"/>
    <x v="1"/>
    <x v="9"/>
    <n v="10"/>
    <n v="0"/>
    <x v="162"/>
  </r>
  <r>
    <x v="0"/>
    <x v="251"/>
    <x v="5"/>
    <n v="59"/>
    <n v="0"/>
    <x v="163"/>
    <x v="5"/>
    <x v="2"/>
    <x v="1"/>
    <x v="9"/>
    <n v="10"/>
    <n v="0"/>
    <x v="163"/>
  </r>
  <r>
    <x v="1"/>
    <x v="251"/>
    <x v="1"/>
    <n v="5"/>
    <n v="0"/>
    <x v="1"/>
    <x v="1"/>
    <x v="1"/>
    <x v="1"/>
    <x v="9"/>
    <n v="10"/>
    <n v="0"/>
    <x v="1"/>
  </r>
  <r>
    <x v="1"/>
    <x v="252"/>
    <x v="1"/>
    <n v="5"/>
    <n v="0"/>
    <x v="1"/>
    <x v="1"/>
    <x v="1"/>
    <x v="1"/>
    <x v="9"/>
    <n v="10"/>
    <n v="0"/>
    <x v="1"/>
  </r>
  <r>
    <x v="1"/>
    <x v="253"/>
    <x v="6"/>
    <n v="86.399999999999977"/>
    <n v="0"/>
    <x v="164"/>
    <x v="6"/>
    <x v="3"/>
    <x v="1"/>
    <x v="9"/>
    <n v="10"/>
    <n v="0"/>
    <x v="164"/>
  </r>
  <r>
    <x v="1"/>
    <x v="253"/>
    <x v="1"/>
    <n v="5"/>
    <n v="0"/>
    <x v="1"/>
    <x v="1"/>
    <x v="1"/>
    <x v="1"/>
    <x v="9"/>
    <n v="10"/>
    <n v="0"/>
    <x v="1"/>
  </r>
  <r>
    <x v="1"/>
    <x v="254"/>
    <x v="1"/>
    <n v="5"/>
    <n v="0"/>
    <x v="1"/>
    <x v="1"/>
    <x v="1"/>
    <x v="1"/>
    <x v="9"/>
    <n v="10"/>
    <n v="0"/>
    <x v="1"/>
  </r>
  <r>
    <x v="1"/>
    <x v="255"/>
    <x v="4"/>
    <n v="143.9"/>
    <n v="0"/>
    <x v="165"/>
    <x v="4"/>
    <x v="2"/>
    <x v="1"/>
    <x v="9"/>
    <n v="10"/>
    <n v="0"/>
    <x v="165"/>
  </r>
  <r>
    <x v="1"/>
    <x v="255"/>
    <x v="1"/>
    <n v="5"/>
    <n v="0"/>
    <x v="1"/>
    <x v="1"/>
    <x v="1"/>
    <x v="1"/>
    <x v="9"/>
    <n v="10"/>
    <n v="0"/>
    <x v="1"/>
  </r>
  <r>
    <x v="1"/>
    <x v="256"/>
    <x v="1"/>
    <n v="5"/>
    <n v="0"/>
    <x v="1"/>
    <x v="1"/>
    <x v="1"/>
    <x v="1"/>
    <x v="9"/>
    <n v="10"/>
    <n v="0"/>
    <x v="1"/>
  </r>
  <r>
    <x v="1"/>
    <x v="256"/>
    <x v="7"/>
    <n v="48.8"/>
    <n v="0"/>
    <x v="166"/>
    <x v="3"/>
    <x v="4"/>
    <x v="1"/>
    <x v="9"/>
    <n v="10"/>
    <n v="0"/>
    <x v="166"/>
  </r>
  <r>
    <x v="1"/>
    <x v="256"/>
    <x v="8"/>
    <n v="106.70000000000002"/>
    <n v="0"/>
    <x v="167"/>
    <x v="7"/>
    <x v="4"/>
    <x v="1"/>
    <x v="9"/>
    <n v="10"/>
    <n v="0"/>
    <x v="167"/>
  </r>
  <r>
    <x v="1"/>
    <x v="256"/>
    <x v="9"/>
    <n v="61.1"/>
    <n v="0"/>
    <x v="168"/>
    <x v="8"/>
    <x v="1"/>
    <x v="1"/>
    <x v="9"/>
    <n v="10"/>
    <n v="0"/>
    <x v="168"/>
  </r>
  <r>
    <x v="1"/>
    <x v="257"/>
    <x v="10"/>
    <n v="37.200000000000003"/>
    <n v="0"/>
    <x v="169"/>
    <x v="9"/>
    <x v="3"/>
    <x v="1"/>
    <x v="9"/>
    <n v="10"/>
    <n v="0"/>
    <x v="169"/>
  </r>
  <r>
    <x v="0"/>
    <x v="258"/>
    <x v="11"/>
    <n v="30"/>
    <n v="0"/>
    <x v="12"/>
    <x v="10"/>
    <x v="4"/>
    <x v="1"/>
    <x v="9"/>
    <n v="10"/>
    <n v="0"/>
    <x v="12"/>
  </r>
  <r>
    <x v="1"/>
    <x v="258"/>
    <x v="1"/>
    <n v="5"/>
    <n v="0"/>
    <x v="1"/>
    <x v="1"/>
    <x v="1"/>
    <x v="1"/>
    <x v="9"/>
    <n v="10"/>
    <n v="0"/>
    <x v="1"/>
  </r>
  <r>
    <x v="1"/>
    <x v="259"/>
    <x v="1"/>
    <n v="5"/>
    <n v="0"/>
    <x v="1"/>
    <x v="1"/>
    <x v="1"/>
    <x v="1"/>
    <x v="9"/>
    <n v="10"/>
    <n v="0"/>
    <x v="1"/>
  </r>
  <r>
    <x v="0"/>
    <x v="259"/>
    <x v="22"/>
    <n v="75"/>
    <n v="0"/>
    <x v="52"/>
    <x v="11"/>
    <x v="5"/>
    <x v="1"/>
    <x v="9"/>
    <n v="10"/>
    <n v="0"/>
    <x v="52"/>
  </r>
  <r>
    <x v="0"/>
    <x v="259"/>
    <x v="13"/>
    <n v="40"/>
    <n v="0"/>
    <x v="8"/>
    <x v="12"/>
    <x v="2"/>
    <x v="1"/>
    <x v="9"/>
    <n v="10"/>
    <n v="0"/>
    <x v="8"/>
  </r>
  <r>
    <x v="1"/>
    <x v="260"/>
    <x v="14"/>
    <n v="54.1"/>
    <n v="0"/>
    <x v="81"/>
    <x v="13"/>
    <x v="4"/>
    <x v="1"/>
    <x v="9"/>
    <n v="10"/>
    <n v="0"/>
    <x v="81"/>
  </r>
  <r>
    <x v="1"/>
    <x v="260"/>
    <x v="15"/>
    <n v="35"/>
    <n v="0"/>
    <x v="35"/>
    <x v="3"/>
    <x v="4"/>
    <x v="1"/>
    <x v="9"/>
    <n v="10"/>
    <n v="0"/>
    <x v="35"/>
  </r>
  <r>
    <x v="1"/>
    <x v="260"/>
    <x v="1"/>
    <n v="5"/>
    <n v="0"/>
    <x v="1"/>
    <x v="1"/>
    <x v="1"/>
    <x v="1"/>
    <x v="9"/>
    <n v="10"/>
    <n v="0"/>
    <x v="1"/>
  </r>
  <r>
    <x v="1"/>
    <x v="261"/>
    <x v="1"/>
    <n v="5"/>
    <n v="0"/>
    <x v="1"/>
    <x v="1"/>
    <x v="1"/>
    <x v="1"/>
    <x v="9"/>
    <n v="10"/>
    <n v="0"/>
    <x v="1"/>
  </r>
  <r>
    <x v="1"/>
    <x v="262"/>
    <x v="1"/>
    <n v="5"/>
    <n v="0"/>
    <x v="1"/>
    <x v="1"/>
    <x v="1"/>
    <x v="1"/>
    <x v="9"/>
    <n v="10"/>
    <n v="0"/>
    <x v="1"/>
  </r>
  <r>
    <x v="1"/>
    <x v="262"/>
    <x v="4"/>
    <n v="178.9"/>
    <n v="0"/>
    <x v="170"/>
    <x v="4"/>
    <x v="2"/>
    <x v="1"/>
    <x v="9"/>
    <n v="10"/>
    <n v="0"/>
    <x v="170"/>
  </r>
  <r>
    <x v="1"/>
    <x v="263"/>
    <x v="16"/>
    <n v="46.2"/>
    <n v="0"/>
    <x v="171"/>
    <x v="8"/>
    <x v="1"/>
    <x v="1"/>
    <x v="9"/>
    <n v="10"/>
    <n v="0"/>
    <x v="171"/>
  </r>
  <r>
    <x v="1"/>
    <x v="264"/>
    <x v="17"/>
    <n v="21.099999999999998"/>
    <n v="0"/>
    <x v="172"/>
    <x v="8"/>
    <x v="1"/>
    <x v="1"/>
    <x v="9"/>
    <n v="10"/>
    <n v="0"/>
    <x v="172"/>
  </r>
  <r>
    <x v="0"/>
    <x v="265"/>
    <x v="18"/>
    <n v="55"/>
    <n v="0"/>
    <x v="39"/>
    <x v="14"/>
    <x v="6"/>
    <x v="1"/>
    <x v="9"/>
    <n v="10"/>
    <n v="0"/>
    <x v="39"/>
  </r>
  <r>
    <x v="1"/>
    <x v="265"/>
    <x v="6"/>
    <n v="71.500000000000028"/>
    <n v="0"/>
    <x v="173"/>
    <x v="6"/>
    <x v="3"/>
    <x v="1"/>
    <x v="9"/>
    <n v="10"/>
    <n v="0"/>
    <x v="173"/>
  </r>
  <r>
    <x v="1"/>
    <x v="265"/>
    <x v="1"/>
    <n v="5"/>
    <n v="0"/>
    <x v="1"/>
    <x v="1"/>
    <x v="1"/>
    <x v="1"/>
    <x v="9"/>
    <n v="10"/>
    <n v="0"/>
    <x v="1"/>
  </r>
  <r>
    <x v="1"/>
    <x v="266"/>
    <x v="1"/>
    <n v="5"/>
    <n v="0"/>
    <x v="1"/>
    <x v="1"/>
    <x v="1"/>
    <x v="1"/>
    <x v="9"/>
    <n v="10"/>
    <n v="0"/>
    <x v="1"/>
  </r>
  <r>
    <x v="1"/>
    <x v="267"/>
    <x v="1"/>
    <n v="5"/>
    <n v="0"/>
    <x v="1"/>
    <x v="1"/>
    <x v="1"/>
    <x v="1"/>
    <x v="9"/>
    <n v="10"/>
    <n v="0"/>
    <x v="1"/>
  </r>
  <r>
    <x v="1"/>
    <x v="268"/>
    <x v="1"/>
    <n v="5"/>
    <n v="0"/>
    <x v="1"/>
    <x v="1"/>
    <x v="1"/>
    <x v="1"/>
    <x v="9"/>
    <n v="10"/>
    <n v="0"/>
    <x v="1"/>
  </r>
  <r>
    <x v="1"/>
    <x v="269"/>
    <x v="1"/>
    <n v="5"/>
    <n v="0"/>
    <x v="1"/>
    <x v="1"/>
    <x v="1"/>
    <x v="1"/>
    <x v="9"/>
    <n v="10"/>
    <n v="0"/>
    <x v="1"/>
  </r>
  <r>
    <x v="1"/>
    <x v="269"/>
    <x v="4"/>
    <n v="189"/>
    <n v="0"/>
    <x v="174"/>
    <x v="4"/>
    <x v="2"/>
    <x v="1"/>
    <x v="9"/>
    <n v="10"/>
    <n v="0"/>
    <x v="174"/>
  </r>
  <r>
    <x v="1"/>
    <x v="270"/>
    <x v="19"/>
    <n v="133.80000000000001"/>
    <n v="0"/>
    <x v="175"/>
    <x v="7"/>
    <x v="4"/>
    <x v="1"/>
    <x v="9"/>
    <n v="10"/>
    <n v="0"/>
    <x v="175"/>
  </r>
  <r>
    <x v="1"/>
    <x v="270"/>
    <x v="20"/>
    <n v="184.39999999999998"/>
    <n v="0"/>
    <x v="176"/>
    <x v="3"/>
    <x v="4"/>
    <x v="1"/>
    <x v="9"/>
    <n v="10"/>
    <n v="0"/>
    <x v="176"/>
  </r>
  <r>
    <x v="1"/>
    <x v="271"/>
    <x v="8"/>
    <n v="154.49999999999997"/>
    <n v="0"/>
    <x v="177"/>
    <x v="7"/>
    <x v="4"/>
    <x v="1"/>
    <x v="9"/>
    <n v="10"/>
    <n v="0"/>
    <x v="177"/>
  </r>
  <r>
    <x v="1"/>
    <x v="271"/>
    <x v="10"/>
    <n v="32.1"/>
    <n v="0"/>
    <x v="178"/>
    <x v="9"/>
    <x v="3"/>
    <x v="1"/>
    <x v="9"/>
    <n v="10"/>
    <n v="0"/>
    <x v="178"/>
  </r>
  <r>
    <x v="1"/>
    <x v="271"/>
    <x v="24"/>
    <n v="15"/>
    <n v="0"/>
    <x v="63"/>
    <x v="8"/>
    <x v="1"/>
    <x v="1"/>
    <x v="9"/>
    <n v="10"/>
    <n v="0"/>
    <x v="63"/>
  </r>
  <r>
    <x v="1"/>
    <x v="272"/>
    <x v="1"/>
    <n v="5"/>
    <n v="0"/>
    <x v="1"/>
    <x v="1"/>
    <x v="1"/>
    <x v="1"/>
    <x v="10"/>
    <n v="11"/>
    <n v="0"/>
    <x v="1"/>
  </r>
  <r>
    <x v="1"/>
    <x v="273"/>
    <x v="1"/>
    <n v="5"/>
    <n v="0"/>
    <x v="1"/>
    <x v="1"/>
    <x v="1"/>
    <x v="1"/>
    <x v="10"/>
    <n v="11"/>
    <n v="0"/>
    <x v="1"/>
  </r>
  <r>
    <x v="0"/>
    <x v="273"/>
    <x v="0"/>
    <n v="0"/>
    <n v="4000"/>
    <x v="0"/>
    <x v="0"/>
    <x v="0"/>
    <x v="0"/>
    <x v="10"/>
    <n v="11"/>
    <n v="4000"/>
    <x v="0"/>
  </r>
  <r>
    <x v="1"/>
    <x v="274"/>
    <x v="1"/>
    <n v="5"/>
    <n v="0"/>
    <x v="1"/>
    <x v="1"/>
    <x v="1"/>
    <x v="1"/>
    <x v="10"/>
    <n v="11"/>
    <n v="0"/>
    <x v="1"/>
  </r>
  <r>
    <x v="0"/>
    <x v="275"/>
    <x v="2"/>
    <n v="927"/>
    <n v="0"/>
    <x v="179"/>
    <x v="2"/>
    <x v="2"/>
    <x v="1"/>
    <x v="10"/>
    <n v="11"/>
    <n v="0"/>
    <x v="179"/>
  </r>
  <r>
    <x v="0"/>
    <x v="275"/>
    <x v="3"/>
    <n v="150"/>
    <n v="0"/>
    <x v="3"/>
    <x v="3"/>
    <x v="3"/>
    <x v="1"/>
    <x v="10"/>
    <n v="11"/>
    <n v="0"/>
    <x v="3"/>
  </r>
  <r>
    <x v="1"/>
    <x v="275"/>
    <x v="1"/>
    <n v="5"/>
    <n v="0"/>
    <x v="1"/>
    <x v="1"/>
    <x v="1"/>
    <x v="1"/>
    <x v="10"/>
    <n v="11"/>
    <n v="0"/>
    <x v="1"/>
  </r>
  <r>
    <x v="1"/>
    <x v="276"/>
    <x v="1"/>
    <n v="5"/>
    <n v="0"/>
    <x v="1"/>
    <x v="1"/>
    <x v="1"/>
    <x v="1"/>
    <x v="10"/>
    <n v="11"/>
    <n v="0"/>
    <x v="1"/>
  </r>
  <r>
    <x v="1"/>
    <x v="277"/>
    <x v="1"/>
    <n v="5"/>
    <n v="0"/>
    <x v="1"/>
    <x v="1"/>
    <x v="1"/>
    <x v="1"/>
    <x v="10"/>
    <n v="11"/>
    <n v="0"/>
    <x v="1"/>
  </r>
  <r>
    <x v="1"/>
    <x v="277"/>
    <x v="4"/>
    <n v="160"/>
    <n v="0"/>
    <x v="180"/>
    <x v="4"/>
    <x v="2"/>
    <x v="1"/>
    <x v="10"/>
    <n v="11"/>
    <n v="0"/>
    <x v="180"/>
  </r>
  <r>
    <x v="0"/>
    <x v="278"/>
    <x v="5"/>
    <n v="49"/>
    <n v="0"/>
    <x v="87"/>
    <x v="5"/>
    <x v="2"/>
    <x v="1"/>
    <x v="10"/>
    <n v="11"/>
    <n v="0"/>
    <x v="87"/>
  </r>
  <r>
    <x v="1"/>
    <x v="278"/>
    <x v="1"/>
    <n v="5"/>
    <n v="0"/>
    <x v="1"/>
    <x v="1"/>
    <x v="1"/>
    <x v="1"/>
    <x v="10"/>
    <n v="11"/>
    <n v="0"/>
    <x v="1"/>
  </r>
  <r>
    <x v="1"/>
    <x v="279"/>
    <x v="1"/>
    <n v="5"/>
    <n v="0"/>
    <x v="1"/>
    <x v="1"/>
    <x v="1"/>
    <x v="1"/>
    <x v="10"/>
    <n v="11"/>
    <n v="0"/>
    <x v="1"/>
  </r>
  <r>
    <x v="1"/>
    <x v="280"/>
    <x v="6"/>
    <n v="94"/>
    <n v="0"/>
    <x v="181"/>
    <x v="6"/>
    <x v="3"/>
    <x v="1"/>
    <x v="10"/>
    <n v="11"/>
    <n v="0"/>
    <x v="181"/>
  </r>
  <r>
    <x v="1"/>
    <x v="280"/>
    <x v="1"/>
    <n v="5"/>
    <n v="0"/>
    <x v="1"/>
    <x v="1"/>
    <x v="1"/>
    <x v="1"/>
    <x v="10"/>
    <n v="11"/>
    <n v="0"/>
    <x v="1"/>
  </r>
  <r>
    <x v="1"/>
    <x v="281"/>
    <x v="1"/>
    <n v="5"/>
    <n v="0"/>
    <x v="1"/>
    <x v="1"/>
    <x v="1"/>
    <x v="1"/>
    <x v="10"/>
    <n v="11"/>
    <n v="0"/>
    <x v="1"/>
  </r>
  <r>
    <x v="1"/>
    <x v="282"/>
    <x v="4"/>
    <n v="133"/>
    <n v="0"/>
    <x v="182"/>
    <x v="4"/>
    <x v="2"/>
    <x v="1"/>
    <x v="10"/>
    <n v="11"/>
    <n v="0"/>
    <x v="182"/>
  </r>
  <r>
    <x v="1"/>
    <x v="282"/>
    <x v="1"/>
    <n v="5"/>
    <n v="0"/>
    <x v="1"/>
    <x v="1"/>
    <x v="1"/>
    <x v="1"/>
    <x v="10"/>
    <n v="11"/>
    <n v="0"/>
    <x v="1"/>
  </r>
  <r>
    <x v="1"/>
    <x v="283"/>
    <x v="1"/>
    <n v="5"/>
    <n v="0"/>
    <x v="1"/>
    <x v="1"/>
    <x v="1"/>
    <x v="1"/>
    <x v="10"/>
    <n v="11"/>
    <n v="0"/>
    <x v="1"/>
  </r>
  <r>
    <x v="1"/>
    <x v="283"/>
    <x v="7"/>
    <n v="36"/>
    <n v="0"/>
    <x v="183"/>
    <x v="3"/>
    <x v="4"/>
    <x v="1"/>
    <x v="10"/>
    <n v="11"/>
    <n v="0"/>
    <x v="183"/>
  </r>
  <r>
    <x v="1"/>
    <x v="283"/>
    <x v="8"/>
    <n v="74"/>
    <n v="0"/>
    <x v="184"/>
    <x v="7"/>
    <x v="4"/>
    <x v="1"/>
    <x v="10"/>
    <n v="11"/>
    <n v="0"/>
    <x v="184"/>
  </r>
  <r>
    <x v="1"/>
    <x v="283"/>
    <x v="9"/>
    <n v="72"/>
    <n v="0"/>
    <x v="185"/>
    <x v="8"/>
    <x v="1"/>
    <x v="1"/>
    <x v="10"/>
    <n v="11"/>
    <n v="0"/>
    <x v="185"/>
  </r>
  <r>
    <x v="1"/>
    <x v="284"/>
    <x v="10"/>
    <n v="28"/>
    <n v="0"/>
    <x v="11"/>
    <x v="9"/>
    <x v="3"/>
    <x v="1"/>
    <x v="10"/>
    <n v="11"/>
    <n v="0"/>
    <x v="11"/>
  </r>
  <r>
    <x v="0"/>
    <x v="285"/>
    <x v="11"/>
    <n v="30"/>
    <n v="0"/>
    <x v="12"/>
    <x v="10"/>
    <x v="4"/>
    <x v="1"/>
    <x v="10"/>
    <n v="11"/>
    <n v="0"/>
    <x v="12"/>
  </r>
  <r>
    <x v="1"/>
    <x v="285"/>
    <x v="1"/>
    <n v="5"/>
    <n v="0"/>
    <x v="1"/>
    <x v="1"/>
    <x v="1"/>
    <x v="1"/>
    <x v="10"/>
    <n v="11"/>
    <n v="0"/>
    <x v="1"/>
  </r>
  <r>
    <x v="1"/>
    <x v="286"/>
    <x v="1"/>
    <n v="5"/>
    <n v="0"/>
    <x v="1"/>
    <x v="1"/>
    <x v="1"/>
    <x v="1"/>
    <x v="10"/>
    <n v="11"/>
    <n v="0"/>
    <x v="1"/>
  </r>
  <r>
    <x v="0"/>
    <x v="286"/>
    <x v="13"/>
    <n v="40"/>
    <n v="0"/>
    <x v="8"/>
    <x v="12"/>
    <x v="2"/>
    <x v="1"/>
    <x v="10"/>
    <n v="11"/>
    <n v="0"/>
    <x v="8"/>
  </r>
  <r>
    <x v="1"/>
    <x v="287"/>
    <x v="15"/>
    <n v="35"/>
    <n v="0"/>
    <x v="35"/>
    <x v="3"/>
    <x v="4"/>
    <x v="1"/>
    <x v="10"/>
    <n v="11"/>
    <n v="0"/>
    <x v="35"/>
  </r>
  <r>
    <x v="1"/>
    <x v="287"/>
    <x v="1"/>
    <n v="5"/>
    <n v="0"/>
    <x v="1"/>
    <x v="1"/>
    <x v="1"/>
    <x v="1"/>
    <x v="10"/>
    <n v="11"/>
    <n v="0"/>
    <x v="1"/>
  </r>
  <r>
    <x v="1"/>
    <x v="288"/>
    <x v="1"/>
    <n v="5"/>
    <n v="0"/>
    <x v="1"/>
    <x v="1"/>
    <x v="1"/>
    <x v="1"/>
    <x v="10"/>
    <n v="11"/>
    <n v="0"/>
    <x v="1"/>
  </r>
  <r>
    <x v="1"/>
    <x v="289"/>
    <x v="1"/>
    <n v="5"/>
    <n v="0"/>
    <x v="1"/>
    <x v="1"/>
    <x v="1"/>
    <x v="1"/>
    <x v="10"/>
    <n v="11"/>
    <n v="0"/>
    <x v="1"/>
  </r>
  <r>
    <x v="1"/>
    <x v="289"/>
    <x v="4"/>
    <n v="214"/>
    <n v="0"/>
    <x v="186"/>
    <x v="4"/>
    <x v="2"/>
    <x v="1"/>
    <x v="10"/>
    <n v="11"/>
    <n v="0"/>
    <x v="186"/>
  </r>
  <r>
    <x v="1"/>
    <x v="290"/>
    <x v="16"/>
    <n v="59"/>
    <n v="0"/>
    <x v="163"/>
    <x v="8"/>
    <x v="1"/>
    <x v="1"/>
    <x v="10"/>
    <n v="11"/>
    <n v="0"/>
    <x v="163"/>
  </r>
  <r>
    <x v="1"/>
    <x v="291"/>
    <x v="17"/>
    <n v="13"/>
    <n v="0"/>
    <x v="187"/>
    <x v="8"/>
    <x v="1"/>
    <x v="1"/>
    <x v="10"/>
    <n v="11"/>
    <n v="0"/>
    <x v="187"/>
  </r>
  <r>
    <x v="0"/>
    <x v="292"/>
    <x v="18"/>
    <n v="55"/>
    <n v="0"/>
    <x v="39"/>
    <x v="14"/>
    <x v="6"/>
    <x v="1"/>
    <x v="10"/>
    <n v="11"/>
    <n v="0"/>
    <x v="39"/>
  </r>
  <r>
    <x v="1"/>
    <x v="292"/>
    <x v="6"/>
    <n v="69"/>
    <n v="0"/>
    <x v="188"/>
    <x v="6"/>
    <x v="3"/>
    <x v="1"/>
    <x v="10"/>
    <n v="11"/>
    <n v="0"/>
    <x v="188"/>
  </r>
  <r>
    <x v="1"/>
    <x v="292"/>
    <x v="1"/>
    <n v="5"/>
    <n v="0"/>
    <x v="1"/>
    <x v="1"/>
    <x v="1"/>
    <x v="1"/>
    <x v="10"/>
    <n v="11"/>
    <n v="0"/>
    <x v="1"/>
  </r>
  <r>
    <x v="1"/>
    <x v="293"/>
    <x v="1"/>
    <n v="5"/>
    <n v="0"/>
    <x v="1"/>
    <x v="1"/>
    <x v="1"/>
    <x v="1"/>
    <x v="10"/>
    <n v="11"/>
    <n v="0"/>
    <x v="1"/>
  </r>
  <r>
    <x v="1"/>
    <x v="294"/>
    <x v="1"/>
    <n v="5"/>
    <n v="0"/>
    <x v="1"/>
    <x v="1"/>
    <x v="1"/>
    <x v="1"/>
    <x v="10"/>
    <n v="11"/>
    <n v="0"/>
    <x v="1"/>
  </r>
  <r>
    <x v="1"/>
    <x v="295"/>
    <x v="1"/>
    <n v="5"/>
    <n v="0"/>
    <x v="1"/>
    <x v="1"/>
    <x v="1"/>
    <x v="1"/>
    <x v="10"/>
    <n v="11"/>
    <n v="0"/>
    <x v="1"/>
  </r>
  <r>
    <x v="1"/>
    <x v="296"/>
    <x v="1"/>
    <n v="5"/>
    <n v="0"/>
    <x v="1"/>
    <x v="1"/>
    <x v="1"/>
    <x v="1"/>
    <x v="10"/>
    <n v="11"/>
    <n v="0"/>
    <x v="1"/>
  </r>
  <r>
    <x v="1"/>
    <x v="296"/>
    <x v="4"/>
    <n v="210"/>
    <n v="0"/>
    <x v="189"/>
    <x v="4"/>
    <x v="2"/>
    <x v="1"/>
    <x v="10"/>
    <n v="11"/>
    <n v="0"/>
    <x v="189"/>
  </r>
  <r>
    <x v="1"/>
    <x v="297"/>
    <x v="8"/>
    <n v="239"/>
    <n v="0"/>
    <x v="190"/>
    <x v="7"/>
    <x v="4"/>
    <x v="1"/>
    <x v="10"/>
    <n v="11"/>
    <n v="0"/>
    <x v="190"/>
  </r>
  <r>
    <x v="1"/>
    <x v="297"/>
    <x v="10"/>
    <n v="40"/>
    <n v="0"/>
    <x v="8"/>
    <x v="9"/>
    <x v="3"/>
    <x v="1"/>
    <x v="10"/>
    <n v="11"/>
    <n v="0"/>
    <x v="8"/>
  </r>
  <r>
    <x v="1"/>
    <x v="297"/>
    <x v="24"/>
    <n v="30"/>
    <n v="0"/>
    <x v="12"/>
    <x v="8"/>
    <x v="1"/>
    <x v="1"/>
    <x v="10"/>
    <n v="11"/>
    <n v="0"/>
    <x v="12"/>
  </r>
  <r>
    <x v="1"/>
    <x v="298"/>
    <x v="1"/>
    <n v="5"/>
    <n v="0"/>
    <x v="1"/>
    <x v="1"/>
    <x v="1"/>
    <x v="1"/>
    <x v="11"/>
    <n v="12"/>
    <n v="0"/>
    <x v="1"/>
  </r>
  <r>
    <x v="1"/>
    <x v="299"/>
    <x v="1"/>
    <n v="5"/>
    <n v="0"/>
    <x v="1"/>
    <x v="1"/>
    <x v="1"/>
    <x v="1"/>
    <x v="11"/>
    <n v="12"/>
    <n v="0"/>
    <x v="1"/>
  </r>
  <r>
    <x v="0"/>
    <x v="300"/>
    <x v="0"/>
    <n v="0"/>
    <n v="4000"/>
    <x v="0"/>
    <x v="0"/>
    <x v="0"/>
    <x v="0"/>
    <x v="11"/>
    <n v="12"/>
    <n v="4000"/>
    <x v="0"/>
  </r>
  <r>
    <x v="1"/>
    <x v="301"/>
    <x v="1"/>
    <n v="5"/>
    <n v="0"/>
    <x v="1"/>
    <x v="1"/>
    <x v="1"/>
    <x v="1"/>
    <x v="11"/>
    <n v="12"/>
    <n v="0"/>
    <x v="1"/>
  </r>
  <r>
    <x v="0"/>
    <x v="302"/>
    <x v="2"/>
    <n v="927"/>
    <n v="0"/>
    <x v="179"/>
    <x v="2"/>
    <x v="2"/>
    <x v="1"/>
    <x v="11"/>
    <n v="12"/>
    <n v="0"/>
    <x v="179"/>
  </r>
  <r>
    <x v="0"/>
    <x v="303"/>
    <x v="3"/>
    <n v="150"/>
    <n v="0"/>
    <x v="3"/>
    <x v="3"/>
    <x v="3"/>
    <x v="1"/>
    <x v="11"/>
    <n v="12"/>
    <n v="0"/>
    <x v="3"/>
  </r>
  <r>
    <x v="1"/>
    <x v="304"/>
    <x v="1"/>
    <n v="5"/>
    <n v="0"/>
    <x v="1"/>
    <x v="1"/>
    <x v="1"/>
    <x v="1"/>
    <x v="11"/>
    <n v="12"/>
    <n v="0"/>
    <x v="1"/>
  </r>
  <r>
    <x v="1"/>
    <x v="305"/>
    <x v="1"/>
    <n v="5"/>
    <n v="0"/>
    <x v="1"/>
    <x v="1"/>
    <x v="1"/>
    <x v="1"/>
    <x v="11"/>
    <n v="12"/>
    <n v="0"/>
    <x v="1"/>
  </r>
  <r>
    <x v="1"/>
    <x v="306"/>
    <x v="1"/>
    <n v="5"/>
    <n v="0"/>
    <x v="1"/>
    <x v="1"/>
    <x v="1"/>
    <x v="1"/>
    <x v="11"/>
    <n v="12"/>
    <n v="0"/>
    <x v="1"/>
  </r>
  <r>
    <x v="1"/>
    <x v="307"/>
    <x v="1"/>
    <n v="5"/>
    <n v="0"/>
    <x v="1"/>
    <x v="1"/>
    <x v="1"/>
    <x v="1"/>
    <x v="11"/>
    <n v="12"/>
    <n v="0"/>
    <x v="1"/>
  </r>
  <r>
    <x v="1"/>
    <x v="308"/>
    <x v="4"/>
    <n v="160"/>
    <n v="0"/>
    <x v="180"/>
    <x v="4"/>
    <x v="2"/>
    <x v="1"/>
    <x v="11"/>
    <n v="12"/>
    <n v="0"/>
    <x v="180"/>
  </r>
  <r>
    <x v="0"/>
    <x v="309"/>
    <x v="5"/>
    <n v="49"/>
    <n v="0"/>
    <x v="87"/>
    <x v="5"/>
    <x v="2"/>
    <x v="1"/>
    <x v="11"/>
    <n v="12"/>
    <n v="0"/>
    <x v="87"/>
  </r>
  <r>
    <x v="1"/>
    <x v="310"/>
    <x v="1"/>
    <n v="5"/>
    <n v="0"/>
    <x v="1"/>
    <x v="1"/>
    <x v="1"/>
    <x v="1"/>
    <x v="11"/>
    <n v="12"/>
    <n v="0"/>
    <x v="1"/>
  </r>
  <r>
    <x v="1"/>
    <x v="311"/>
    <x v="1"/>
    <n v="5"/>
    <n v="0"/>
    <x v="1"/>
    <x v="1"/>
    <x v="1"/>
    <x v="1"/>
    <x v="11"/>
    <n v="12"/>
    <n v="0"/>
    <x v="1"/>
  </r>
  <r>
    <x v="1"/>
    <x v="312"/>
    <x v="6"/>
    <n v="94"/>
    <n v="0"/>
    <x v="181"/>
    <x v="6"/>
    <x v="3"/>
    <x v="1"/>
    <x v="11"/>
    <n v="12"/>
    <n v="0"/>
    <x v="181"/>
  </r>
  <r>
    <x v="1"/>
    <x v="313"/>
    <x v="1"/>
    <n v="5"/>
    <n v="0"/>
    <x v="1"/>
    <x v="1"/>
    <x v="1"/>
    <x v="1"/>
    <x v="11"/>
    <n v="12"/>
    <n v="0"/>
    <x v="1"/>
  </r>
  <r>
    <x v="1"/>
    <x v="314"/>
    <x v="1"/>
    <n v="5"/>
    <n v="0"/>
    <x v="1"/>
    <x v="1"/>
    <x v="1"/>
    <x v="1"/>
    <x v="11"/>
    <n v="12"/>
    <n v="0"/>
    <x v="1"/>
  </r>
  <r>
    <x v="1"/>
    <x v="315"/>
    <x v="4"/>
    <n v="133"/>
    <n v="0"/>
    <x v="182"/>
    <x v="4"/>
    <x v="2"/>
    <x v="1"/>
    <x v="11"/>
    <n v="12"/>
    <n v="0"/>
    <x v="182"/>
  </r>
  <r>
    <x v="1"/>
    <x v="316"/>
    <x v="1"/>
    <n v="5"/>
    <n v="0"/>
    <x v="1"/>
    <x v="1"/>
    <x v="1"/>
    <x v="1"/>
    <x v="11"/>
    <n v="12"/>
    <n v="0"/>
    <x v="1"/>
  </r>
  <r>
    <x v="1"/>
    <x v="317"/>
    <x v="1"/>
    <n v="5"/>
    <n v="0"/>
    <x v="1"/>
    <x v="1"/>
    <x v="1"/>
    <x v="1"/>
    <x v="11"/>
    <n v="12"/>
    <n v="0"/>
    <x v="1"/>
  </r>
  <r>
    <x v="1"/>
    <x v="318"/>
    <x v="7"/>
    <n v="36"/>
    <n v="0"/>
    <x v="183"/>
    <x v="3"/>
    <x v="4"/>
    <x v="1"/>
    <x v="11"/>
    <n v="12"/>
    <n v="0"/>
    <x v="183"/>
  </r>
  <r>
    <x v="1"/>
    <x v="319"/>
    <x v="8"/>
    <n v="74"/>
    <n v="0"/>
    <x v="184"/>
    <x v="7"/>
    <x v="4"/>
    <x v="1"/>
    <x v="11"/>
    <n v="12"/>
    <n v="0"/>
    <x v="184"/>
  </r>
  <r>
    <x v="1"/>
    <x v="320"/>
    <x v="9"/>
    <n v="72"/>
    <n v="0"/>
    <x v="185"/>
    <x v="8"/>
    <x v="1"/>
    <x v="1"/>
    <x v="11"/>
    <n v="12"/>
    <n v="0"/>
    <x v="185"/>
  </r>
  <r>
    <x v="1"/>
    <x v="321"/>
    <x v="10"/>
    <n v="28"/>
    <n v="0"/>
    <x v="11"/>
    <x v="9"/>
    <x v="3"/>
    <x v="1"/>
    <x v="11"/>
    <n v="12"/>
    <n v="0"/>
    <x v="11"/>
  </r>
  <r>
    <x v="0"/>
    <x v="322"/>
    <x v="11"/>
    <n v="30"/>
    <n v="0"/>
    <x v="12"/>
    <x v="10"/>
    <x v="4"/>
    <x v="1"/>
    <x v="11"/>
    <n v="12"/>
    <n v="0"/>
    <x v="12"/>
  </r>
  <r>
    <x v="1"/>
    <x v="323"/>
    <x v="1"/>
    <n v="5"/>
    <n v="0"/>
    <x v="1"/>
    <x v="1"/>
    <x v="1"/>
    <x v="1"/>
    <x v="11"/>
    <n v="12"/>
    <n v="0"/>
    <x v="1"/>
  </r>
  <r>
    <x v="1"/>
    <x v="324"/>
    <x v="1"/>
    <n v="5"/>
    <n v="0"/>
    <x v="1"/>
    <x v="1"/>
    <x v="1"/>
    <x v="1"/>
    <x v="11"/>
    <n v="12"/>
    <n v="0"/>
    <x v="1"/>
  </r>
  <r>
    <x v="0"/>
    <x v="325"/>
    <x v="13"/>
    <n v="40"/>
    <n v="0"/>
    <x v="8"/>
    <x v="12"/>
    <x v="2"/>
    <x v="1"/>
    <x v="11"/>
    <n v="12"/>
    <n v="0"/>
    <x v="8"/>
  </r>
  <r>
    <x v="1"/>
    <x v="326"/>
    <x v="15"/>
    <n v="35"/>
    <n v="0"/>
    <x v="35"/>
    <x v="3"/>
    <x v="4"/>
    <x v="1"/>
    <x v="11"/>
    <n v="12"/>
    <n v="0"/>
    <x v="35"/>
  </r>
  <r>
    <x v="1"/>
    <x v="327"/>
    <x v="1"/>
    <n v="5"/>
    <n v="0"/>
    <x v="1"/>
    <x v="1"/>
    <x v="1"/>
    <x v="1"/>
    <x v="11"/>
    <n v="12"/>
    <n v="0"/>
    <x v="1"/>
  </r>
  <r>
    <x v="1"/>
    <x v="328"/>
    <x v="1"/>
    <n v="5"/>
    <n v="0"/>
    <x v="1"/>
    <x v="1"/>
    <x v="1"/>
    <x v="1"/>
    <x v="11"/>
    <n v="12"/>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6DD3C-8B01-4C22-9E85-5A271A4CDB7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X4:AA8" firstHeaderRow="1" firstDataRow="2" firstDataCol="1"/>
  <pivotFields count="13">
    <pivotField axis="axisRow"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items count="192">
        <item x="179"/>
        <item x="2"/>
        <item x="78"/>
        <item x="190"/>
        <item x="94"/>
        <item x="105"/>
        <item x="158"/>
        <item x="186"/>
        <item x="189"/>
        <item x="58"/>
        <item x="26"/>
        <item x="126"/>
        <item x="174"/>
        <item x="176"/>
        <item x="143"/>
        <item x="128"/>
        <item x="111"/>
        <item x="114"/>
        <item x="170"/>
        <item x="154"/>
        <item x="60"/>
        <item x="137"/>
        <item x="122"/>
        <item x="23"/>
        <item x="88"/>
        <item x="72"/>
        <item x="54"/>
        <item x="36"/>
        <item x="16"/>
        <item x="109"/>
        <item x="92"/>
        <item x="76"/>
        <item x="146"/>
        <item x="41"/>
        <item x="21"/>
        <item x="180"/>
        <item x="64"/>
        <item x="4"/>
        <item x="177"/>
        <item x="13"/>
        <item x="160"/>
        <item x="144"/>
        <item x="129"/>
        <item x="112"/>
        <item x="3"/>
        <item x="95"/>
        <item x="46"/>
        <item x="79"/>
        <item x="61"/>
        <item x="44"/>
        <item x="24"/>
        <item x="165"/>
        <item x="149"/>
        <item x="133"/>
        <item x="117"/>
        <item x="99"/>
        <item x="83"/>
        <item x="43"/>
        <item x="29"/>
        <item x="7"/>
        <item x="175"/>
        <item x="182"/>
        <item x="159"/>
        <item x="142"/>
        <item x="127"/>
        <item x="110"/>
        <item x="93"/>
        <item x="77"/>
        <item x="59"/>
        <item x="42"/>
        <item x="22"/>
        <item x="97"/>
        <item x="141"/>
        <item x="167"/>
        <item x="151"/>
        <item x="162"/>
        <item x="134"/>
        <item x="119"/>
        <item x="101"/>
        <item x="85"/>
        <item x="68"/>
        <item x="50"/>
        <item x="31"/>
        <item x="9"/>
        <item x="181"/>
        <item x="164"/>
        <item x="148"/>
        <item x="132"/>
        <item x="116"/>
        <item x="98"/>
        <item x="82"/>
        <item x="66"/>
        <item x="48"/>
        <item x="28"/>
        <item x="6"/>
        <item x="52"/>
        <item x="184"/>
        <item x="185"/>
        <item x="173"/>
        <item x="157"/>
        <item x="140"/>
        <item x="188"/>
        <item x="125"/>
        <item x="108"/>
        <item x="91"/>
        <item x="75"/>
        <item x="57"/>
        <item x="40"/>
        <item x="20"/>
        <item x="168"/>
        <item x="152"/>
        <item x="135"/>
        <item x="163"/>
        <item x="147"/>
        <item x="120"/>
        <item x="131"/>
        <item x="102"/>
        <item x="115"/>
        <item x="86"/>
        <item x="39"/>
        <item x="69"/>
        <item x="81"/>
        <item x="51"/>
        <item x="65"/>
        <item x="32"/>
        <item x="47"/>
        <item x="10"/>
        <item x="27"/>
        <item x="104"/>
        <item x="5"/>
        <item x="87"/>
        <item x="166"/>
        <item x="71"/>
        <item x="150"/>
        <item x="53"/>
        <item x="171"/>
        <item x="34"/>
        <item x="118"/>
        <item x="155"/>
        <item x="14"/>
        <item x="100"/>
        <item x="138"/>
        <item x="84"/>
        <item x="123"/>
        <item x="67"/>
        <item x="106"/>
        <item x="49"/>
        <item x="89"/>
        <item x="30"/>
        <item x="73"/>
        <item x="8"/>
        <item x="55"/>
        <item x="37"/>
        <item x="169"/>
        <item x="17"/>
        <item x="153"/>
        <item x="183"/>
        <item x="136"/>
        <item x="35"/>
        <item x="121"/>
        <item x="103"/>
        <item x="178"/>
        <item x="15"/>
        <item x="161"/>
        <item x="70"/>
        <item x="145"/>
        <item x="12"/>
        <item x="130"/>
        <item x="33"/>
        <item x="113"/>
        <item x="11"/>
        <item x="96"/>
        <item x="80"/>
        <item x="62"/>
        <item x="45"/>
        <item x="25"/>
        <item x="172"/>
        <item x="156"/>
        <item x="139"/>
        <item x="124"/>
        <item x="107"/>
        <item x="90"/>
        <item x="74"/>
        <item x="63"/>
        <item x="56"/>
        <item x="187"/>
        <item x="38"/>
        <item x="18"/>
        <item x="1"/>
        <item x="19"/>
        <item x="0"/>
        <item t="default"/>
      </items>
    </pivotField>
    <pivotField showAll="0">
      <items count="17">
        <item x="7"/>
        <item x="1"/>
        <item x="11"/>
        <item x="14"/>
        <item x="3"/>
        <item x="15"/>
        <item x="5"/>
        <item x="13"/>
        <item x="4"/>
        <item x="10"/>
        <item x="6"/>
        <item x="12"/>
        <item x="2"/>
        <item x="8"/>
        <item x="0"/>
        <item x="9"/>
        <item t="default"/>
      </items>
    </pivotField>
    <pivotField showAll="0">
      <items count="8">
        <item x="6"/>
        <item x="1"/>
        <item x="4"/>
        <item x="2"/>
        <item x="5"/>
        <item x="0"/>
        <item x="3"/>
        <item t="default"/>
      </items>
    </pivotField>
    <pivotField axis="axisCol"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showAll="0"/>
  </pivotFields>
  <rowFields count="1">
    <field x="0"/>
  </rowFields>
  <rowItems count="3">
    <i>
      <x/>
    </i>
    <i>
      <x v="1"/>
    </i>
    <i t="grand">
      <x/>
    </i>
  </rowItems>
  <colFields count="1">
    <field x="8"/>
  </colFields>
  <colItems count="3">
    <i>
      <x/>
    </i>
    <i>
      <x v="1"/>
    </i>
    <i t="grand">
      <x/>
    </i>
  </colItems>
  <dataFields count="1">
    <dataField name="Sum of Amount" fld="5" baseField="0" baseItem="0"/>
  </dataFields>
  <formats count="1">
    <format dxfId="68">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20223-7D25-41A4-B996-5BFD04D995F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4:I12"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showAll="0"/>
    <pivotField showAll="0">
      <items count="17">
        <item x="7"/>
        <item x="1"/>
        <item x="11"/>
        <item x="14"/>
        <item x="3"/>
        <item x="15"/>
        <item x="5"/>
        <item x="13"/>
        <item x="4"/>
        <item x="10"/>
        <item x="6"/>
        <item x="12"/>
        <item x="2"/>
        <item x="8"/>
        <item x="0"/>
        <item x="9"/>
        <item t="default"/>
      </items>
    </pivotField>
    <pivotField axis="axisRow"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dataField="1" showAll="0"/>
  </pivotFields>
  <rowFields count="1">
    <field x="7"/>
  </rowFields>
  <rowItems count="8">
    <i>
      <x v="3"/>
    </i>
    <i>
      <x v="2"/>
    </i>
    <i>
      <x v="6"/>
    </i>
    <i>
      <x v="1"/>
    </i>
    <i>
      <x/>
    </i>
    <i>
      <x v="4"/>
    </i>
    <i>
      <x v="5"/>
    </i>
    <i t="grand">
      <x/>
    </i>
  </rowItems>
  <colItems count="1">
    <i/>
  </colItems>
  <dataFields count="1">
    <dataField name="Expense" fld="12" baseField="7" baseItem="3" numFmtId="164"/>
  </dataFields>
  <formats count="3">
    <format>
      <pivotArea field="7" type="button" dataOnly="0" labelOnly="1" outline="0" axis="axisRow" fieldPosition="0"/>
    </format>
    <format>
      <pivotArea dataOnly="0" labelOnly="1" fieldPosition="0">
        <references count="1">
          <reference field="7" count="0"/>
        </references>
      </pivotArea>
    </format>
    <format>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19DE8-BFFE-4050-B2A9-9215E117958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C17" firstHeaderRow="0"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showAll="0"/>
    <pivotField showAll="0">
      <items count="17">
        <item x="7"/>
        <item x="1"/>
        <item x="11"/>
        <item x="14"/>
        <item x="3"/>
        <item x="15"/>
        <item x="5"/>
        <item x="13"/>
        <item x="4"/>
        <item x="10"/>
        <item x="6"/>
        <item x="12"/>
        <item x="2"/>
        <item x="8"/>
        <item x="0"/>
        <item x="9"/>
        <item t="default"/>
      </items>
    </pivotField>
    <pivotField showAll="0">
      <items count="8">
        <item x="6"/>
        <item x="1"/>
        <item x="4"/>
        <item x="2"/>
        <item x="5"/>
        <item x="0"/>
        <item x="3"/>
        <item t="default"/>
      </items>
    </pivotField>
    <pivotField showAll="0">
      <items count="3">
        <item x="1"/>
        <item x="0"/>
        <item t="default"/>
      </items>
    </pivotField>
    <pivotField axis="axisRow" showAll="0">
      <items count="13">
        <item x="0"/>
        <item x="1"/>
        <item x="2"/>
        <item x="3"/>
        <item x="4"/>
        <item x="5"/>
        <item x="6"/>
        <item x="7"/>
        <item x="8"/>
        <item x="9"/>
        <item x="10"/>
        <item x="11"/>
        <item t="default"/>
      </items>
    </pivotField>
    <pivotField showAll="0"/>
    <pivotField dataField="1" showAll="0"/>
    <pivotField dataField="1" showAll="0"/>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Income" fld="11" baseField="9" baseItem="0"/>
    <dataField name="Expense" fld="12" baseField="9" baseItem="0"/>
  </dataFields>
  <formats count="1">
    <format dxfId="67">
      <pivotArea collapsedLevelsAreSubtotals="1" fieldPosition="0">
        <references count="1">
          <reference field="9"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45D540-8DDA-453D-B76A-709483F33EC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C4:AD15"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axis="axisRow" showAll="0" measureFilter="1" sortType="descending">
      <items count="29">
        <item x="0"/>
        <item x="25"/>
        <item x="5"/>
        <item x="2"/>
        <item x="7"/>
        <item x="8"/>
        <item x="3"/>
        <item x="27"/>
        <item x="24"/>
        <item x="6"/>
        <item x="21"/>
        <item x="17"/>
        <item x="4"/>
        <item x="1"/>
        <item x="26"/>
        <item x="9"/>
        <item x="11"/>
        <item x="13"/>
        <item x="16"/>
        <item x="14"/>
        <item x="12"/>
        <item x="23"/>
        <item x="15"/>
        <item x="10"/>
        <item x="19"/>
        <item x="20"/>
        <item x="2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17">
        <item x="7"/>
        <item x="1"/>
        <item x="11"/>
        <item x="14"/>
        <item x="3"/>
        <item x="15"/>
        <item x="5"/>
        <item x="13"/>
        <item x="4"/>
        <item x="10"/>
        <item x="6"/>
        <item x="12"/>
        <item x="2"/>
        <item x="8"/>
        <item x="0"/>
        <item x="9"/>
        <item t="default"/>
      </items>
      <autoSortScope>
        <pivotArea dataOnly="0" outline="0" fieldPosition="0">
          <references count="1">
            <reference field="4294967294" count="1" selected="0">
              <x v="0"/>
            </reference>
          </references>
        </pivotArea>
      </autoSortScope>
    </pivotField>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dataField="1" showAll="0"/>
  </pivotFields>
  <rowFields count="1">
    <field x="2"/>
  </rowFields>
  <rowItems count="11">
    <i>
      <x v="3"/>
    </i>
    <i>
      <x v="12"/>
    </i>
    <i>
      <x v="5"/>
    </i>
    <i>
      <x v="6"/>
    </i>
    <i>
      <x v="9"/>
    </i>
    <i>
      <x v="24"/>
    </i>
    <i>
      <x v="13"/>
    </i>
    <i>
      <x v="25"/>
    </i>
    <i>
      <x v="15"/>
    </i>
    <i>
      <x v="23"/>
    </i>
    <i t="grand">
      <x/>
    </i>
  </rowItems>
  <colItems count="1">
    <i/>
  </colItems>
  <dataFields count="1">
    <dataField name="Expense" fld="12" baseField="7" baseItem="3"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7A73A4-6B8A-47E6-8FE5-4E405496545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F17"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items count="17">
        <item x="7"/>
        <item x="1"/>
        <item x="11"/>
        <item x="14"/>
        <item x="3"/>
        <item x="15"/>
        <item x="5"/>
        <item x="13"/>
        <item x="4"/>
        <item x="10"/>
        <item x="6"/>
        <item x="12"/>
        <item x="2"/>
        <item x="8"/>
        <item x="0"/>
        <item x="9"/>
        <item t="default"/>
      </items>
    </pivotField>
    <pivotField showAll="0">
      <items count="8">
        <item x="6"/>
        <item x="1"/>
        <item x="4"/>
        <item x="2"/>
        <item x="5"/>
        <item x="0"/>
        <item x="3"/>
        <item t="default"/>
      </items>
    </pivotField>
    <pivotField showAll="0">
      <items count="3">
        <item x="1"/>
        <item x="0"/>
        <item t="default"/>
      </items>
    </pivotField>
    <pivotField axis="axisRow" showAll="0">
      <items count="13">
        <item x="0"/>
        <item x="1"/>
        <item x="2"/>
        <item x="3"/>
        <item x="4"/>
        <item x="5"/>
        <item x="6"/>
        <item x="7"/>
        <item x="8"/>
        <item x="9"/>
        <item x="10"/>
        <item x="11"/>
        <item t="default"/>
      </items>
    </pivotField>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Amount" fld="5" baseField="0" baseItem="0" numFmtId="164"/>
  </dataFields>
  <formats count="3">
    <format>
      <pivotArea field="7" type="button" dataOnly="0" labelOnly="1" outline="0"/>
    </format>
    <format>
      <pivotArea dataOnly="0" labelOnly="1" grandRow="1" outline="0" fieldPosition="0"/>
    </format>
    <format dxfId="6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215D2-5992-4AE0-BD7C-FADEA5D534C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4:V18" firstHeaderRow="1" firstDataRow="2"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showAll="0"/>
    <pivotField showAll="0">
      <items count="17">
        <item x="7"/>
        <item x="1"/>
        <item x="11"/>
        <item x="14"/>
        <item x="3"/>
        <item x="15"/>
        <item x="5"/>
        <item x="13"/>
        <item x="4"/>
        <item x="10"/>
        <item x="6"/>
        <item x="12"/>
        <item x="2"/>
        <item x="8"/>
        <item x="0"/>
        <item x="9"/>
        <item t="default"/>
      </items>
    </pivotField>
    <pivotField axis="axisCol" showAll="0">
      <items count="8">
        <item x="6"/>
        <item x="1"/>
        <item x="4"/>
        <item x="2"/>
        <item x="5"/>
        <item x="0"/>
        <item x="3"/>
        <item t="default"/>
      </items>
    </pivotField>
    <pivotField showAll="0">
      <items count="3">
        <item x="1"/>
        <item x="0"/>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s>
  <rowFields count="1">
    <field x="9"/>
  </rowFields>
  <rowItems count="13">
    <i>
      <x/>
    </i>
    <i>
      <x v="1"/>
    </i>
    <i>
      <x v="2"/>
    </i>
    <i>
      <x v="3"/>
    </i>
    <i>
      <x v="4"/>
    </i>
    <i>
      <x v="5"/>
    </i>
    <i>
      <x v="6"/>
    </i>
    <i>
      <x v="7"/>
    </i>
    <i>
      <x v="8"/>
    </i>
    <i>
      <x v="9"/>
    </i>
    <i>
      <x v="10"/>
    </i>
    <i>
      <x v="11"/>
    </i>
    <i t="grand">
      <x/>
    </i>
  </rowItems>
  <colFields count="1">
    <field x="7"/>
  </colFields>
  <colItems count="8">
    <i>
      <x/>
    </i>
    <i>
      <x v="1"/>
    </i>
    <i>
      <x v="2"/>
    </i>
    <i>
      <x v="3"/>
    </i>
    <i>
      <x v="4"/>
    </i>
    <i>
      <x v="5"/>
    </i>
    <i>
      <x v="6"/>
    </i>
    <i t="grand">
      <x/>
    </i>
  </colItems>
  <dataFields count="1">
    <dataField name="Sum of Expense Amooun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20CD4F-C79D-40CC-8389-BF6EFD5ECA6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F4:AG21"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showAll="0"/>
    <pivotField axis="axisRow" dataField="1" showAll="0">
      <items count="17">
        <item x="7"/>
        <item x="1"/>
        <item x="11"/>
        <item x="14"/>
        <item x="3"/>
        <item x="15"/>
        <item x="5"/>
        <item x="13"/>
        <item x="4"/>
        <item x="10"/>
        <item x="6"/>
        <item x="12"/>
        <item x="2"/>
        <item x="8"/>
        <item x="0"/>
        <item x="9"/>
        <item t="default"/>
      </items>
    </pivotField>
    <pivotField showAll="0">
      <items count="8">
        <item x="6"/>
        <item x="1"/>
        <item x="4"/>
        <item x="2"/>
        <item x="5"/>
        <item x="0"/>
        <item x="3"/>
        <item t="default"/>
      </items>
    </pivotField>
    <pivotField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Count of Sub-categor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908170-A2F9-41CE-8143-6F3486155F1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4:L21"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showAll="0"/>
    <pivotField axis="axisRow" showAll="0" sortType="descending">
      <items count="17">
        <item x="7"/>
        <item x="1"/>
        <item x="11"/>
        <item x="14"/>
        <item x="3"/>
        <item x="15"/>
        <item x="5"/>
        <item x="13"/>
        <item x="4"/>
        <item x="10"/>
        <item x="6"/>
        <item x="12"/>
        <item x="2"/>
        <item x="8"/>
        <item x="0"/>
        <item x="9"/>
        <item t="default"/>
      </items>
      <autoSortScope>
        <pivotArea dataOnly="0" outline="0" fieldPosition="0">
          <references count="1">
            <reference field="4294967294" count="1" selected="0">
              <x v="0"/>
            </reference>
          </references>
        </pivotArea>
      </autoSortScope>
    </pivotField>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dataField="1" showAll="0"/>
  </pivotFields>
  <rowFields count="1">
    <field x="6"/>
  </rowFields>
  <rowItems count="17">
    <i>
      <x v="12"/>
    </i>
    <i>
      <x v="8"/>
    </i>
    <i>
      <x/>
    </i>
    <i>
      <x v="4"/>
    </i>
    <i>
      <x v="10"/>
    </i>
    <i>
      <x v="13"/>
    </i>
    <i>
      <x v="1"/>
    </i>
    <i>
      <x v="15"/>
    </i>
    <i>
      <x v="6"/>
    </i>
    <i>
      <x v="7"/>
    </i>
    <i>
      <x v="3"/>
    </i>
    <i>
      <x v="11"/>
    </i>
    <i>
      <x v="5"/>
    </i>
    <i>
      <x v="2"/>
    </i>
    <i>
      <x v="9"/>
    </i>
    <i>
      <x v="14"/>
    </i>
    <i t="grand">
      <x/>
    </i>
  </rowItems>
  <colItems count="1">
    <i/>
  </colItems>
  <dataFields count="1">
    <dataField name="Expense" fld="12" baseField="7" baseItem="3"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E80912-FC86-4E7C-A74E-B8562B4FE95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I4:AJ21" firstHeaderRow="1" firstDataRow="1" firstDataCol="1"/>
  <pivotFields count="13">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measureFilter="1" sortType="descending">
      <items count="29">
        <item x="0"/>
        <item x="25"/>
        <item x="5"/>
        <item x="2"/>
        <item x="7"/>
        <item x="8"/>
        <item x="3"/>
        <item x="27"/>
        <item x="24"/>
        <item x="6"/>
        <item x="21"/>
        <item x="17"/>
        <item x="4"/>
        <item x="1"/>
        <item x="26"/>
        <item x="9"/>
        <item x="11"/>
        <item x="13"/>
        <item x="16"/>
        <item x="14"/>
        <item x="12"/>
        <item x="23"/>
        <item x="15"/>
        <item x="10"/>
        <item x="19"/>
        <item x="20"/>
        <item x="2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7">
        <item x="7"/>
        <item x="1"/>
        <item x="11"/>
        <item x="14"/>
        <item x="3"/>
        <item x="15"/>
        <item x="5"/>
        <item x="13"/>
        <item x="4"/>
        <item x="10"/>
        <item x="6"/>
        <item x="12"/>
        <item x="2"/>
        <item x="8"/>
        <item x="0"/>
        <item x="9"/>
        <item t="default"/>
      </items>
      <autoSortScope>
        <pivotArea dataOnly="0" outline="0" fieldPosition="0">
          <references count="1">
            <reference field="4294967294" count="1" selected="0">
              <x v="0"/>
            </reference>
          </references>
        </pivotArea>
      </autoSortScope>
    </pivotField>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x="0"/>
        <item x="1"/>
        <item x="2"/>
        <item x="3"/>
        <item x="4"/>
        <item x="5"/>
        <item x="6"/>
        <item x="7"/>
        <item x="8"/>
        <item x="9"/>
        <item x="10"/>
        <item x="11"/>
        <item t="default"/>
      </items>
    </pivotField>
    <pivotField showAll="0"/>
    <pivotField showAll="0"/>
    <pivotField dataField="1" showAll="0">
      <items count="192">
        <item x="19"/>
        <item x="0"/>
        <item x="1"/>
        <item x="18"/>
        <item x="38"/>
        <item x="187"/>
        <item x="56"/>
        <item x="63"/>
        <item x="74"/>
        <item x="90"/>
        <item x="107"/>
        <item x="124"/>
        <item x="139"/>
        <item x="156"/>
        <item x="172"/>
        <item x="25"/>
        <item x="45"/>
        <item x="62"/>
        <item x="80"/>
        <item x="96"/>
        <item x="11"/>
        <item x="113"/>
        <item x="33"/>
        <item x="130"/>
        <item x="12"/>
        <item x="145"/>
        <item x="70"/>
        <item x="161"/>
        <item x="15"/>
        <item x="178"/>
        <item x="103"/>
        <item x="121"/>
        <item x="35"/>
        <item x="136"/>
        <item x="183"/>
        <item x="153"/>
        <item x="17"/>
        <item x="169"/>
        <item x="37"/>
        <item x="55"/>
        <item x="8"/>
        <item x="73"/>
        <item x="30"/>
        <item x="89"/>
        <item x="49"/>
        <item x="106"/>
        <item x="67"/>
        <item x="123"/>
        <item x="84"/>
        <item x="138"/>
        <item x="100"/>
        <item x="14"/>
        <item x="155"/>
        <item x="118"/>
        <item x="34"/>
        <item x="171"/>
        <item x="53"/>
        <item x="150"/>
        <item x="71"/>
        <item x="166"/>
        <item x="87"/>
        <item x="5"/>
        <item x="104"/>
        <item x="27"/>
        <item x="10"/>
        <item x="47"/>
        <item x="32"/>
        <item x="65"/>
        <item x="51"/>
        <item x="81"/>
        <item x="69"/>
        <item x="39"/>
        <item x="86"/>
        <item x="115"/>
        <item x="102"/>
        <item x="131"/>
        <item x="120"/>
        <item x="147"/>
        <item x="163"/>
        <item x="135"/>
        <item x="152"/>
        <item x="168"/>
        <item x="20"/>
        <item x="40"/>
        <item x="57"/>
        <item x="75"/>
        <item x="91"/>
        <item x="108"/>
        <item x="125"/>
        <item x="188"/>
        <item x="140"/>
        <item x="157"/>
        <item x="173"/>
        <item x="185"/>
        <item x="184"/>
        <item x="52"/>
        <item x="6"/>
        <item x="28"/>
        <item x="48"/>
        <item x="66"/>
        <item x="82"/>
        <item x="98"/>
        <item x="116"/>
        <item x="132"/>
        <item x="148"/>
        <item x="164"/>
        <item x="181"/>
        <item x="9"/>
        <item x="31"/>
        <item x="50"/>
        <item x="68"/>
        <item x="85"/>
        <item x="101"/>
        <item x="119"/>
        <item x="134"/>
        <item x="162"/>
        <item x="151"/>
        <item x="167"/>
        <item x="141"/>
        <item x="97"/>
        <item x="22"/>
        <item x="42"/>
        <item x="59"/>
        <item x="77"/>
        <item x="93"/>
        <item x="110"/>
        <item x="127"/>
        <item x="142"/>
        <item x="159"/>
        <item x="182"/>
        <item x="175"/>
        <item x="7"/>
        <item x="29"/>
        <item x="43"/>
        <item x="83"/>
        <item x="99"/>
        <item x="117"/>
        <item x="133"/>
        <item x="149"/>
        <item x="165"/>
        <item x="24"/>
        <item x="44"/>
        <item x="61"/>
        <item x="79"/>
        <item x="46"/>
        <item x="95"/>
        <item x="3"/>
        <item x="112"/>
        <item x="129"/>
        <item x="144"/>
        <item x="160"/>
        <item x="13"/>
        <item x="177"/>
        <item x="4"/>
        <item x="64"/>
        <item x="180"/>
        <item x="21"/>
        <item x="41"/>
        <item x="146"/>
        <item x="76"/>
        <item x="92"/>
        <item x="109"/>
        <item x="16"/>
        <item x="36"/>
        <item x="54"/>
        <item x="72"/>
        <item x="88"/>
        <item x="23"/>
        <item x="122"/>
        <item x="137"/>
        <item x="60"/>
        <item x="154"/>
        <item x="170"/>
        <item x="114"/>
        <item x="111"/>
        <item x="128"/>
        <item x="143"/>
        <item x="176"/>
        <item x="174"/>
        <item x="126"/>
        <item x="26"/>
        <item x="58"/>
        <item x="189"/>
        <item x="186"/>
        <item x="158"/>
        <item x="105"/>
        <item x="94"/>
        <item x="190"/>
        <item x="78"/>
        <item x="2"/>
        <item x="179"/>
        <item t="default"/>
      </items>
    </pivotField>
  </pivotFields>
  <rowFields count="1">
    <field x="6"/>
  </rowFields>
  <rowItems count="17">
    <i>
      <x v="12"/>
    </i>
    <i>
      <x v="5"/>
    </i>
    <i>
      <x v="8"/>
    </i>
    <i>
      <x/>
    </i>
    <i>
      <x v="2"/>
    </i>
    <i>
      <x v="4"/>
    </i>
    <i>
      <x v="10"/>
    </i>
    <i>
      <x v="6"/>
    </i>
    <i>
      <x v="7"/>
    </i>
    <i>
      <x v="3"/>
    </i>
    <i>
      <x v="11"/>
    </i>
    <i>
      <x v="13"/>
    </i>
    <i>
      <x v="15"/>
    </i>
    <i>
      <x v="9"/>
    </i>
    <i>
      <x v="1"/>
    </i>
    <i>
      <x v="14"/>
    </i>
    <i t="grand">
      <x/>
    </i>
  </rowItems>
  <colItems count="1">
    <i/>
  </colItems>
  <dataFields count="1">
    <dataField name="Avg of Expense" fld="12" subtotal="average" baseField="6" baseItem="12" numFmtId="164"/>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67C63D-CDB1-4C54-8537-99AD6E189538}" autoFormatId="16" applyNumberFormats="0" applyBorderFormats="0" applyFontFormats="0" applyPatternFormats="0" applyAlignmentFormats="0" applyWidthHeightFormats="0">
  <queryTableRefresh nextId="15" unboundColumnsRight="4">
    <queryTableFields count="13">
      <queryTableField id="1" name="Account" tableColumnId="1"/>
      <queryTableField id="2" name="Date" tableColumnId="2"/>
      <queryTableField id="3" name="Description" tableColumnId="3"/>
      <queryTableField id="4" name="Debit" tableColumnId="4"/>
      <queryTableField id="5" name="Credit" tableColumnId="5"/>
      <queryTableField id="6" name="Amount" tableColumnId="6"/>
      <queryTableField id="7" name="Sub-category" tableColumnId="7"/>
      <queryTableField id="8" name="Category" tableColumnId="8"/>
      <queryTableField id="9" name="Category Type"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AD5794A7-6110-4FBA-BD20-E3C5E5FC9A0C}" sourceName="Account">
  <pivotTables>
    <pivotTable tabId="1" name="PivotTable5"/>
    <pivotTable tabId="1" name="PivotTable10"/>
    <pivotTable tabId="1" name="PivotTable11"/>
    <pivotTable tabId="1" name="PivotTable13"/>
    <pivotTable tabId="1" name="PivotTable2"/>
    <pivotTable tabId="1" name="PivotTable6"/>
    <pivotTable tabId="1" name="PivotTable7"/>
    <pivotTable tabId="1" name="PivotTable8"/>
    <pivotTable tabId="1" name="PivotTable9"/>
  </pivotTables>
  <data>
    <tabular pivotCacheId="8786034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 xr10:uid="{F3C431E7-1A34-4000-B809-3E6E65F59B59}" sourceName="Category Type">
  <pivotTables>
    <pivotTable tabId="1" name="PivotTable5"/>
    <pivotTable tabId="1" name="PivotTable10"/>
    <pivotTable tabId="1" name="PivotTable11"/>
    <pivotTable tabId="1" name="PivotTable13"/>
    <pivotTable tabId="1" name="PivotTable2"/>
    <pivotTable tabId="1" name="PivotTable6"/>
    <pivotTable tabId="1" name="PivotTable7"/>
    <pivotTable tabId="1" name="PivotTable8"/>
    <pivotTable tabId="1" name="PivotTable9"/>
  </pivotTables>
  <data>
    <tabular pivotCacheId="8786034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618BB8-65C9-4AE8-8AAB-CE7796C62F35}" sourceName="Category">
  <pivotTables>
    <pivotTable tabId="1" name="PivotTable5"/>
    <pivotTable tabId="1" name="PivotTable10"/>
    <pivotTable tabId="1" name="PivotTable11"/>
    <pivotTable tabId="1" name="PivotTable13"/>
    <pivotTable tabId="1" name="PivotTable2"/>
    <pivotTable tabId="1" name="PivotTable6"/>
    <pivotTable tabId="1" name="PivotTable7"/>
    <pivotTable tabId="1" name="PivotTable8"/>
    <pivotTable tabId="1" name="PivotTable9"/>
  </pivotTables>
  <data>
    <tabular pivotCacheId="878603483">
      <items count="7">
        <i x="6" s="1"/>
        <i x="1" s="1"/>
        <i x="4" s="1"/>
        <i x="2" s="1"/>
        <i x="5"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64C1C08-D804-45AA-98B4-7EEFCBB5CD76}" sourceName="Sub-category">
  <pivotTables>
    <pivotTable tabId="1" name="PivotTable5"/>
    <pivotTable tabId="1" name="PivotTable10"/>
    <pivotTable tabId="1" name="PivotTable11"/>
    <pivotTable tabId="1" name="PivotTable13"/>
    <pivotTable tabId="1" name="PivotTable2"/>
    <pivotTable tabId="1" name="PivotTable6"/>
    <pivotTable tabId="1" name="PivotTable7"/>
    <pivotTable tabId="1" name="PivotTable8"/>
    <pivotTable tabId="1" name="PivotTable9"/>
  </pivotTables>
  <data>
    <tabular pivotCacheId="878603483">
      <items count="16">
        <i x="7" s="1"/>
        <i x="1" s="1"/>
        <i x="11" s="1"/>
        <i x="14" s="1"/>
        <i x="3" s="1"/>
        <i x="15" s="1"/>
        <i x="5" s="1"/>
        <i x="13" s="1"/>
        <i x="4" s="1"/>
        <i x="10" s="1"/>
        <i x="6" s="1"/>
        <i x="12" s="1"/>
        <i x="2" s="1"/>
        <i x="8"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2B1AC2EE-520C-4A51-AE8A-DB77DEF7B2BC}" cache="Slicer_Account" caption="Account" columnCount="2" style="SlicerStyleDark1" rowHeight="257175"/>
  <slicer name="Category Type" xr10:uid="{DD3D6F53-02AA-4412-8CB4-C4F935C8B2C8}" cache="Slicer_Category_Type" caption="Category Type" columnCount="2" style="SlicerStyleDark1" rowHeight="257175"/>
  <slicer name="Category" xr10:uid="{EBFB0B49-9385-413E-8442-70E7DC830B49}" cache="Slicer_Category" caption="Category" style="SlicerStyleDark1" rowHeight="257175"/>
  <slicer name="Sub-category" xr10:uid="{3BDCC8D5-C600-40B3-AFBA-C9B2888E8A0C}" cache="Slicer_Sub_category" caption="Sub-category" startItem="3"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13B07-6309-4D76-A05C-92A73D91AB96}" name="Data" displayName="Data" ref="A1:M559" tableType="queryTable" totalsRowShown="0">
  <autoFilter ref="A1:M559" xr:uid="{0D313B07-6309-4D76-A05C-92A73D91AB96}"/>
  <tableColumns count="13">
    <tableColumn id="1" xr3:uid="{F2A43F8E-C09E-4F00-80E1-7E63313E9B95}" uniqueName="1" name="Account" queryTableFieldId="1" dataDxfId="78"/>
    <tableColumn id="2" xr3:uid="{5A251DB1-490F-42C5-8DCD-4B7A6F205E55}" uniqueName="2" name="Date" queryTableFieldId="2" dataDxfId="77"/>
    <tableColumn id="3" xr3:uid="{3BAD317D-6569-4D18-B6FC-6F494508D021}" uniqueName="3" name="Description" queryTableFieldId="3" dataDxfId="76"/>
    <tableColumn id="4" xr3:uid="{9A1A5573-22D6-4BBA-AEB4-057BE8B657B7}" uniqueName="4" name="Debit" queryTableFieldId="4"/>
    <tableColumn id="5" xr3:uid="{84F9EDC4-21E0-42C9-9EA9-DDCAE0CA77EC}" uniqueName="5" name="Credit" queryTableFieldId="5"/>
    <tableColumn id="6" xr3:uid="{6ADECAC0-60A0-4D05-B5E7-31F5FE731CC3}" uniqueName="6" name="Amount" queryTableFieldId="6"/>
    <tableColumn id="7" xr3:uid="{760504D6-F92A-45D8-9102-0F0132004C88}" uniqueName="7" name="Sub-category" queryTableFieldId="7" dataDxfId="75"/>
    <tableColumn id="8" xr3:uid="{FF2394DA-F6E2-48FC-842B-F9772FCA87D8}" uniqueName="8" name="Category" queryTableFieldId="8" dataDxfId="74"/>
    <tableColumn id="9" xr3:uid="{F8AC981A-61F6-4E20-8D47-B3431C2CA2FB}" uniqueName="9" name="Category Type" queryTableFieldId="9" dataDxfId="73"/>
    <tableColumn id="10" xr3:uid="{56C88BF4-F407-496B-966A-5AD9AB52A06D}" uniqueName="10" name="Month" queryTableFieldId="10" dataDxfId="72">
      <calculatedColumnFormula>TEXT(Data[[#This Row],[Date]],"mmm")</calculatedColumnFormula>
    </tableColumn>
    <tableColumn id="11" xr3:uid="{DFFB3CA8-D48B-4710-9AB1-95E2BAE58C16}" uniqueName="11" name="Month No" queryTableFieldId="11" dataDxfId="71">
      <calculatedColumnFormula>MONTH(Data[[#This Row],[Date]])</calculatedColumnFormula>
    </tableColumn>
    <tableColumn id="12" xr3:uid="{875C3197-620C-4C04-A0A2-014BF97EE899}" uniqueName="12" name="Amount of Income" queryTableFieldId="12" dataDxfId="70">
      <calculatedColumnFormula>IF(Data[[#This Row],[Category Type]]="Income",Data[[#This Row],[Amount]],0)</calculatedColumnFormula>
    </tableColumn>
    <tableColumn id="13" xr3:uid="{76017D52-DB3A-43D8-895F-8D34FACD6CFE}" uniqueName="13" name="Amoount of Expense" queryTableFieldId="13" dataDxfId="69">
      <calculatedColumnFormula>IF(Data[[#This Row],[Category Type]]="Expense",-Data[[#This Row],[Amount]],0)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6AA91BE-B0CB-4E3E-99D5-0C42B1031528}" sourceName="Date">
  <pivotTables>
    <pivotTable tabId="1" name="PivotTable5"/>
    <pivotTable tabId="1" name="PivotTable10"/>
    <pivotTable tabId="1" name="PivotTable11"/>
    <pivotTable tabId="1" name="PivotTable13"/>
    <pivotTable tabId="1" name="PivotTable2"/>
    <pivotTable tabId="1" name="PivotTable6"/>
    <pivotTable tabId="1" name="PivotTable7"/>
    <pivotTable tabId="1" name="PivotTable8"/>
    <pivotTable tabId="1" name="PivotTable9"/>
  </pivotTables>
  <state minimalRefreshVersion="6" lastRefreshVersion="6" pivotCacheId="878603483"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1303BCB-D65D-47D5-AB31-CD6DC959CAFA}" cache="NativeTimeline_Date" caption="Date" level="2" selectionLevel="2" scrollPosition="2021-03-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8BA0-4CBF-4653-B49C-BA7D075C15E2}">
  <dimension ref="A1:M559"/>
  <sheetViews>
    <sheetView workbookViewId="0"/>
  </sheetViews>
  <sheetFormatPr defaultRowHeight="15" x14ac:dyDescent="0.25"/>
  <cols>
    <col min="1" max="1" width="10.5703125" bestFit="1" customWidth="1"/>
    <col min="2" max="2" width="10.42578125" bestFit="1" customWidth="1"/>
    <col min="3" max="3" width="15.42578125" bestFit="1" customWidth="1"/>
    <col min="4" max="4" width="8.28515625" bestFit="1" customWidth="1"/>
    <col min="5" max="5" width="9" bestFit="1" customWidth="1"/>
    <col min="6" max="6" width="10.28515625" bestFit="1" customWidth="1"/>
    <col min="7" max="7" width="15.140625" bestFit="1" customWidth="1"/>
    <col min="8" max="8" width="14.7109375" bestFit="1" customWidth="1"/>
    <col min="9" max="9" width="16.28515625" bestFit="1" customWidth="1"/>
    <col min="11" max="11" width="12" bestFit="1" customWidth="1"/>
    <col min="12" max="12" width="17.5703125" bestFit="1" customWidth="1"/>
    <col min="13" max="13" width="19.85546875" bestFit="1" customWidth="1"/>
    <col min="14" max="14" width="16.28515625" bestFit="1" customWidth="1"/>
  </cols>
  <sheetData>
    <row r="1" spans="1:13" x14ac:dyDescent="0.25">
      <c r="A1" t="s">
        <v>0</v>
      </c>
      <c r="B1" t="s">
        <v>1</v>
      </c>
      <c r="C1" t="s">
        <v>2</v>
      </c>
      <c r="D1" t="s">
        <v>3</v>
      </c>
      <c r="E1" t="s">
        <v>4</v>
      </c>
      <c r="F1" t="s">
        <v>5</v>
      </c>
      <c r="G1" t="s">
        <v>6</v>
      </c>
      <c r="H1" t="s">
        <v>7</v>
      </c>
      <c r="I1" t="s">
        <v>8</v>
      </c>
      <c r="J1" s="2" t="s">
        <v>62</v>
      </c>
      <c r="K1" s="2" t="s">
        <v>63</v>
      </c>
      <c r="L1" s="2" t="s">
        <v>79</v>
      </c>
      <c r="M1" s="2" t="s">
        <v>80</v>
      </c>
    </row>
    <row r="2" spans="1:13" x14ac:dyDescent="0.25">
      <c r="A2" t="s">
        <v>9</v>
      </c>
      <c r="B2" s="1">
        <v>44200</v>
      </c>
      <c r="C2" t="s">
        <v>10</v>
      </c>
      <c r="D2">
        <v>0</v>
      </c>
      <c r="E2">
        <v>4000</v>
      </c>
      <c r="F2">
        <v>4000</v>
      </c>
      <c r="G2" t="s">
        <v>11</v>
      </c>
      <c r="H2" t="s">
        <v>11</v>
      </c>
      <c r="I2" t="s">
        <v>12</v>
      </c>
      <c r="J2" t="str">
        <f>TEXT(Data[[#This Row],[Date]],"mmm")</f>
        <v>Jan</v>
      </c>
      <c r="K2">
        <f>MONTH(Data[[#This Row],[Date]])</f>
        <v>1</v>
      </c>
      <c r="L2">
        <f>IF(Data[[#This Row],[Category Type]]="Income",Data[[#This Row],[Amount]],0)</f>
        <v>4000</v>
      </c>
      <c r="M2">
        <f>IF(Data[[#This Row],[Category Type]]="Expense",-Data[[#This Row],[Amount]],0)</f>
        <v>0</v>
      </c>
    </row>
    <row r="3" spans="1:13" x14ac:dyDescent="0.25">
      <c r="A3" t="s">
        <v>4</v>
      </c>
      <c r="B3" s="1">
        <v>44200</v>
      </c>
      <c r="C3" t="s">
        <v>13</v>
      </c>
      <c r="D3">
        <v>5</v>
      </c>
      <c r="E3">
        <v>0</v>
      </c>
      <c r="F3">
        <v>-5</v>
      </c>
      <c r="G3" t="s">
        <v>14</v>
      </c>
      <c r="H3" t="s">
        <v>15</v>
      </c>
      <c r="I3" t="s">
        <v>16</v>
      </c>
      <c r="J3" t="str">
        <f>TEXT(Data[[#This Row],[Date]],"mmm")</f>
        <v>Jan</v>
      </c>
      <c r="K3">
        <f>MONTH(Data[[#This Row],[Date]])</f>
        <v>1</v>
      </c>
      <c r="L3">
        <f>IF(Data[[#This Row],[Category Type]]="Income",Data[[#This Row],[Amount]],0)</f>
        <v>0</v>
      </c>
      <c r="M3">
        <f>IF(Data[[#This Row],[Category Type]]="Expense",-Data[[#This Row],[Amount]],0)</f>
        <v>5</v>
      </c>
    </row>
    <row r="4" spans="1:13" x14ac:dyDescent="0.25">
      <c r="A4" t="s">
        <v>9</v>
      </c>
      <c r="B4" s="1">
        <v>44201</v>
      </c>
      <c r="C4" t="s">
        <v>17</v>
      </c>
      <c r="D4">
        <v>900</v>
      </c>
      <c r="E4">
        <v>0</v>
      </c>
      <c r="F4">
        <v>-900</v>
      </c>
      <c r="G4" t="s">
        <v>18</v>
      </c>
      <c r="H4" t="s">
        <v>19</v>
      </c>
      <c r="I4" t="s">
        <v>16</v>
      </c>
      <c r="J4" t="str">
        <f>TEXT(Data[[#This Row],[Date]],"mmm")</f>
        <v>Jan</v>
      </c>
      <c r="K4">
        <f>MONTH(Data[[#This Row],[Date]])</f>
        <v>1</v>
      </c>
      <c r="L4">
        <f>IF(Data[[#This Row],[Category Type]]="Income",Data[[#This Row],[Amount]],0)</f>
        <v>0</v>
      </c>
      <c r="M4">
        <f>IF(Data[[#This Row],[Category Type]]="Expense",-Data[[#This Row],[Amount]],0)</f>
        <v>900</v>
      </c>
    </row>
    <row r="5" spans="1:13" x14ac:dyDescent="0.25">
      <c r="A5" t="s">
        <v>9</v>
      </c>
      <c r="B5" s="1">
        <v>44201</v>
      </c>
      <c r="C5" t="s">
        <v>20</v>
      </c>
      <c r="D5">
        <v>150</v>
      </c>
      <c r="E5">
        <v>0</v>
      </c>
      <c r="F5">
        <v>-150</v>
      </c>
      <c r="G5" t="s">
        <v>21</v>
      </c>
      <c r="H5" t="s">
        <v>22</v>
      </c>
      <c r="I5" t="s">
        <v>16</v>
      </c>
      <c r="J5" t="str">
        <f>TEXT(Data[[#This Row],[Date]],"mmm")</f>
        <v>Jan</v>
      </c>
      <c r="K5">
        <f>MONTH(Data[[#This Row],[Date]])</f>
        <v>1</v>
      </c>
      <c r="L5">
        <f>IF(Data[[#This Row],[Category Type]]="Income",Data[[#This Row],[Amount]],0)</f>
        <v>0</v>
      </c>
      <c r="M5">
        <f>IF(Data[[#This Row],[Category Type]]="Expense",-Data[[#This Row],[Amount]],0)</f>
        <v>150</v>
      </c>
    </row>
    <row r="6" spans="1:13" x14ac:dyDescent="0.25">
      <c r="A6" t="s">
        <v>4</v>
      </c>
      <c r="B6" s="1">
        <v>44201</v>
      </c>
      <c r="C6" t="s">
        <v>13</v>
      </c>
      <c r="D6">
        <v>5</v>
      </c>
      <c r="E6">
        <v>0</v>
      </c>
      <c r="F6">
        <v>-5</v>
      </c>
      <c r="G6" t="s">
        <v>14</v>
      </c>
      <c r="H6" t="s">
        <v>15</v>
      </c>
      <c r="I6" t="s">
        <v>16</v>
      </c>
      <c r="J6" t="str">
        <f>TEXT(Data[[#This Row],[Date]],"mmm")</f>
        <v>Jan</v>
      </c>
      <c r="K6">
        <f>MONTH(Data[[#This Row],[Date]])</f>
        <v>1</v>
      </c>
      <c r="L6">
        <f>IF(Data[[#This Row],[Category Type]]="Income",Data[[#This Row],[Amount]],0)</f>
        <v>0</v>
      </c>
      <c r="M6">
        <f>IF(Data[[#This Row],[Category Type]]="Expense",-Data[[#This Row],[Amount]],0)</f>
        <v>5</v>
      </c>
    </row>
    <row r="7" spans="1:13" x14ac:dyDescent="0.25">
      <c r="A7" t="s">
        <v>4</v>
      </c>
      <c r="B7" s="1">
        <v>44202</v>
      </c>
      <c r="C7" t="s">
        <v>13</v>
      </c>
      <c r="D7">
        <v>5</v>
      </c>
      <c r="E7">
        <v>0</v>
      </c>
      <c r="F7">
        <v>-5</v>
      </c>
      <c r="G7" t="s">
        <v>14</v>
      </c>
      <c r="H7" t="s">
        <v>15</v>
      </c>
      <c r="I7" t="s">
        <v>16</v>
      </c>
      <c r="J7" t="str">
        <f>TEXT(Data[[#This Row],[Date]],"mmm")</f>
        <v>Jan</v>
      </c>
      <c r="K7">
        <f>MONTH(Data[[#This Row],[Date]])</f>
        <v>1</v>
      </c>
      <c r="L7">
        <f>IF(Data[[#This Row],[Category Type]]="Income",Data[[#This Row],[Amount]],0)</f>
        <v>0</v>
      </c>
      <c r="M7">
        <f>IF(Data[[#This Row],[Category Type]]="Expense",-Data[[#This Row],[Amount]],0)</f>
        <v>5</v>
      </c>
    </row>
    <row r="8" spans="1:13" x14ac:dyDescent="0.25">
      <c r="A8" t="s">
        <v>4</v>
      </c>
      <c r="B8" s="1">
        <v>44203</v>
      </c>
      <c r="C8" t="s">
        <v>13</v>
      </c>
      <c r="D8">
        <v>5</v>
      </c>
      <c r="E8">
        <v>0</v>
      </c>
      <c r="F8">
        <v>-5</v>
      </c>
      <c r="G8" t="s">
        <v>14</v>
      </c>
      <c r="H8" t="s">
        <v>15</v>
      </c>
      <c r="I8" t="s">
        <v>16</v>
      </c>
      <c r="J8" t="str">
        <f>TEXT(Data[[#This Row],[Date]],"mmm")</f>
        <v>Jan</v>
      </c>
      <c r="K8">
        <f>MONTH(Data[[#This Row],[Date]])</f>
        <v>1</v>
      </c>
      <c r="L8">
        <f>IF(Data[[#This Row],[Category Type]]="Income",Data[[#This Row],[Amount]],0)</f>
        <v>0</v>
      </c>
      <c r="M8">
        <f>IF(Data[[#This Row],[Category Type]]="Expense",-Data[[#This Row],[Amount]],0)</f>
        <v>5</v>
      </c>
    </row>
    <row r="9" spans="1:13" x14ac:dyDescent="0.25">
      <c r="A9" t="s">
        <v>4</v>
      </c>
      <c r="B9" s="1">
        <v>44204</v>
      </c>
      <c r="C9" t="s">
        <v>13</v>
      </c>
      <c r="D9">
        <v>5</v>
      </c>
      <c r="E9">
        <v>0</v>
      </c>
      <c r="F9">
        <v>-5</v>
      </c>
      <c r="G9" t="s">
        <v>14</v>
      </c>
      <c r="H9" t="s">
        <v>15</v>
      </c>
      <c r="I9" t="s">
        <v>16</v>
      </c>
      <c r="J9" t="str">
        <f>TEXT(Data[[#This Row],[Date]],"mmm")</f>
        <v>Jan</v>
      </c>
      <c r="K9">
        <f>MONTH(Data[[#This Row],[Date]])</f>
        <v>1</v>
      </c>
      <c r="L9">
        <f>IF(Data[[#This Row],[Category Type]]="Income",Data[[#This Row],[Amount]],0)</f>
        <v>0</v>
      </c>
      <c r="M9">
        <f>IF(Data[[#This Row],[Category Type]]="Expense",-Data[[#This Row],[Amount]],0)</f>
        <v>5</v>
      </c>
    </row>
    <row r="10" spans="1:13" x14ac:dyDescent="0.25">
      <c r="A10" t="s">
        <v>4</v>
      </c>
      <c r="B10" s="1">
        <v>44204</v>
      </c>
      <c r="C10" t="s">
        <v>23</v>
      </c>
      <c r="D10">
        <v>155</v>
      </c>
      <c r="E10">
        <v>0</v>
      </c>
      <c r="F10">
        <v>-155</v>
      </c>
      <c r="G10" t="s">
        <v>24</v>
      </c>
      <c r="H10" t="s">
        <v>19</v>
      </c>
      <c r="I10" t="s">
        <v>16</v>
      </c>
      <c r="J10" t="str">
        <f>TEXT(Data[[#This Row],[Date]],"mmm")</f>
        <v>Jan</v>
      </c>
      <c r="K10">
        <f>MONTH(Data[[#This Row],[Date]])</f>
        <v>1</v>
      </c>
      <c r="L10">
        <f>IF(Data[[#This Row],[Category Type]]="Income",Data[[#This Row],[Amount]],0)</f>
        <v>0</v>
      </c>
      <c r="M10">
        <f>IF(Data[[#This Row],[Category Type]]="Expense",-Data[[#This Row],[Amount]],0)</f>
        <v>155</v>
      </c>
    </row>
    <row r="11" spans="1:13" x14ac:dyDescent="0.25">
      <c r="A11" t="s">
        <v>9</v>
      </c>
      <c r="B11" s="1">
        <v>44207</v>
      </c>
      <c r="C11" t="s">
        <v>25</v>
      </c>
      <c r="D11">
        <v>50</v>
      </c>
      <c r="E11">
        <v>0</v>
      </c>
      <c r="F11">
        <v>-50</v>
      </c>
      <c r="G11" t="s">
        <v>26</v>
      </c>
      <c r="H11" t="s">
        <v>19</v>
      </c>
      <c r="I11" t="s">
        <v>16</v>
      </c>
      <c r="J11" t="str">
        <f>TEXT(Data[[#This Row],[Date]],"mmm")</f>
        <v>Jan</v>
      </c>
      <c r="K11">
        <f>MONTH(Data[[#This Row],[Date]])</f>
        <v>1</v>
      </c>
      <c r="L11">
        <f>IF(Data[[#This Row],[Category Type]]="Income",Data[[#This Row],[Amount]],0)</f>
        <v>0</v>
      </c>
      <c r="M11">
        <f>IF(Data[[#This Row],[Category Type]]="Expense",-Data[[#This Row],[Amount]],0)</f>
        <v>50</v>
      </c>
    </row>
    <row r="12" spans="1:13" x14ac:dyDescent="0.25">
      <c r="A12" t="s">
        <v>4</v>
      </c>
      <c r="B12" s="1">
        <v>44207</v>
      </c>
      <c r="C12" t="s">
        <v>13</v>
      </c>
      <c r="D12">
        <v>5</v>
      </c>
      <c r="E12">
        <v>0</v>
      </c>
      <c r="F12">
        <v>-5</v>
      </c>
      <c r="G12" t="s">
        <v>14</v>
      </c>
      <c r="H12" t="s">
        <v>15</v>
      </c>
      <c r="I12" t="s">
        <v>16</v>
      </c>
      <c r="J12" t="str">
        <f>TEXT(Data[[#This Row],[Date]],"mmm")</f>
        <v>Jan</v>
      </c>
      <c r="K12">
        <f>MONTH(Data[[#This Row],[Date]])</f>
        <v>1</v>
      </c>
      <c r="L12">
        <f>IF(Data[[#This Row],[Category Type]]="Income",Data[[#This Row],[Amount]],0)</f>
        <v>0</v>
      </c>
      <c r="M12">
        <f>IF(Data[[#This Row],[Category Type]]="Expense",-Data[[#This Row],[Amount]],0)</f>
        <v>5</v>
      </c>
    </row>
    <row r="13" spans="1:13" x14ac:dyDescent="0.25">
      <c r="A13" t="s">
        <v>4</v>
      </c>
      <c r="B13" s="1">
        <v>44208</v>
      </c>
      <c r="C13" t="s">
        <v>13</v>
      </c>
      <c r="D13">
        <v>5</v>
      </c>
      <c r="E13">
        <v>0</v>
      </c>
      <c r="F13">
        <v>-5</v>
      </c>
      <c r="G13" t="s">
        <v>14</v>
      </c>
      <c r="H13" t="s">
        <v>15</v>
      </c>
      <c r="I13" t="s">
        <v>16</v>
      </c>
      <c r="J13" t="str">
        <f>TEXT(Data[[#This Row],[Date]],"mmm")</f>
        <v>Jan</v>
      </c>
      <c r="K13">
        <f>MONTH(Data[[#This Row],[Date]])</f>
        <v>1</v>
      </c>
      <c r="L13">
        <f>IF(Data[[#This Row],[Category Type]]="Income",Data[[#This Row],[Amount]],0)</f>
        <v>0</v>
      </c>
      <c r="M13">
        <f>IF(Data[[#This Row],[Category Type]]="Expense",-Data[[#This Row],[Amount]],0)</f>
        <v>5</v>
      </c>
    </row>
    <row r="14" spans="1:13" x14ac:dyDescent="0.25">
      <c r="A14" t="s">
        <v>4</v>
      </c>
      <c r="B14" s="1">
        <v>44209</v>
      </c>
      <c r="C14" t="s">
        <v>27</v>
      </c>
      <c r="D14">
        <v>77</v>
      </c>
      <c r="E14">
        <v>0</v>
      </c>
      <c r="F14">
        <v>-77</v>
      </c>
      <c r="G14" t="s">
        <v>28</v>
      </c>
      <c r="H14" t="s">
        <v>22</v>
      </c>
      <c r="I14" t="s">
        <v>16</v>
      </c>
      <c r="J14" t="str">
        <f>TEXT(Data[[#This Row],[Date]],"mmm")</f>
        <v>Jan</v>
      </c>
      <c r="K14">
        <f>MONTH(Data[[#This Row],[Date]])</f>
        <v>1</v>
      </c>
      <c r="L14">
        <f>IF(Data[[#This Row],[Category Type]]="Income",Data[[#This Row],[Amount]],0)</f>
        <v>0</v>
      </c>
      <c r="M14">
        <f>IF(Data[[#This Row],[Category Type]]="Expense",-Data[[#This Row],[Amount]],0)</f>
        <v>77</v>
      </c>
    </row>
    <row r="15" spans="1:13" x14ac:dyDescent="0.25">
      <c r="A15" t="s">
        <v>4</v>
      </c>
      <c r="B15" s="1">
        <v>44209</v>
      </c>
      <c r="C15" t="s">
        <v>13</v>
      </c>
      <c r="D15">
        <v>5</v>
      </c>
      <c r="E15">
        <v>0</v>
      </c>
      <c r="F15">
        <v>-5</v>
      </c>
      <c r="G15" t="s">
        <v>14</v>
      </c>
      <c r="H15" t="s">
        <v>15</v>
      </c>
      <c r="I15" t="s">
        <v>16</v>
      </c>
      <c r="J15" t="str">
        <f>TEXT(Data[[#This Row],[Date]],"mmm")</f>
        <v>Jan</v>
      </c>
      <c r="K15">
        <f>MONTH(Data[[#This Row],[Date]])</f>
        <v>1</v>
      </c>
      <c r="L15">
        <f>IF(Data[[#This Row],[Category Type]]="Income",Data[[#This Row],[Amount]],0)</f>
        <v>0</v>
      </c>
      <c r="M15">
        <f>IF(Data[[#This Row],[Category Type]]="Expense",-Data[[#This Row],[Amount]],0)</f>
        <v>5</v>
      </c>
    </row>
    <row r="16" spans="1:13" x14ac:dyDescent="0.25">
      <c r="A16" t="s">
        <v>4</v>
      </c>
      <c r="B16" s="1">
        <v>44210</v>
      </c>
      <c r="C16" t="s">
        <v>13</v>
      </c>
      <c r="D16">
        <v>5</v>
      </c>
      <c r="E16">
        <v>0</v>
      </c>
      <c r="F16">
        <v>-5</v>
      </c>
      <c r="G16" t="s">
        <v>14</v>
      </c>
      <c r="H16" t="s">
        <v>15</v>
      </c>
      <c r="I16" t="s">
        <v>16</v>
      </c>
      <c r="J16" t="str">
        <f>TEXT(Data[[#This Row],[Date]],"mmm")</f>
        <v>Jan</v>
      </c>
      <c r="K16">
        <f>MONTH(Data[[#This Row],[Date]])</f>
        <v>1</v>
      </c>
      <c r="L16">
        <f>IF(Data[[#This Row],[Category Type]]="Income",Data[[#This Row],[Amount]],0)</f>
        <v>0</v>
      </c>
      <c r="M16">
        <f>IF(Data[[#This Row],[Category Type]]="Expense",-Data[[#This Row],[Amount]],0)</f>
        <v>5</v>
      </c>
    </row>
    <row r="17" spans="1:13" x14ac:dyDescent="0.25">
      <c r="A17" t="s">
        <v>4</v>
      </c>
      <c r="B17" s="1">
        <v>44211</v>
      </c>
      <c r="C17" t="s">
        <v>23</v>
      </c>
      <c r="D17">
        <v>135</v>
      </c>
      <c r="E17">
        <v>0</v>
      </c>
      <c r="F17">
        <v>-135</v>
      </c>
      <c r="G17" t="s">
        <v>24</v>
      </c>
      <c r="H17" t="s">
        <v>19</v>
      </c>
      <c r="I17" t="s">
        <v>16</v>
      </c>
      <c r="J17" t="str">
        <f>TEXT(Data[[#This Row],[Date]],"mmm")</f>
        <v>Jan</v>
      </c>
      <c r="K17">
        <f>MONTH(Data[[#This Row],[Date]])</f>
        <v>1</v>
      </c>
      <c r="L17">
        <f>IF(Data[[#This Row],[Category Type]]="Income",Data[[#This Row],[Amount]],0)</f>
        <v>0</v>
      </c>
      <c r="M17">
        <f>IF(Data[[#This Row],[Category Type]]="Expense",-Data[[#This Row],[Amount]],0)</f>
        <v>135</v>
      </c>
    </row>
    <row r="18" spans="1:13" x14ac:dyDescent="0.25">
      <c r="A18" t="s">
        <v>4</v>
      </c>
      <c r="B18" s="1">
        <v>44211</v>
      </c>
      <c r="C18" t="s">
        <v>13</v>
      </c>
      <c r="D18">
        <v>5</v>
      </c>
      <c r="E18">
        <v>0</v>
      </c>
      <c r="F18">
        <v>-5</v>
      </c>
      <c r="G18" t="s">
        <v>14</v>
      </c>
      <c r="H18" t="s">
        <v>15</v>
      </c>
      <c r="I18" t="s">
        <v>16</v>
      </c>
      <c r="J18" t="str">
        <f>TEXT(Data[[#This Row],[Date]],"mmm")</f>
        <v>Jan</v>
      </c>
      <c r="K18">
        <f>MONTH(Data[[#This Row],[Date]])</f>
        <v>1</v>
      </c>
      <c r="L18">
        <f>IF(Data[[#This Row],[Category Type]]="Income",Data[[#This Row],[Amount]],0)</f>
        <v>0</v>
      </c>
      <c r="M18">
        <f>IF(Data[[#This Row],[Category Type]]="Expense",-Data[[#This Row],[Amount]],0)</f>
        <v>5</v>
      </c>
    </row>
    <row r="19" spans="1:13" x14ac:dyDescent="0.25">
      <c r="A19" t="s">
        <v>4</v>
      </c>
      <c r="B19" s="1">
        <v>44212</v>
      </c>
      <c r="C19" t="s">
        <v>13</v>
      </c>
      <c r="D19">
        <v>5</v>
      </c>
      <c r="E19">
        <v>0</v>
      </c>
      <c r="F19">
        <v>-5</v>
      </c>
      <c r="G19" t="s">
        <v>14</v>
      </c>
      <c r="H19" t="s">
        <v>15</v>
      </c>
      <c r="I19" t="s">
        <v>16</v>
      </c>
      <c r="J19" t="str">
        <f>TEXT(Data[[#This Row],[Date]],"mmm")</f>
        <v>Jan</v>
      </c>
      <c r="K19">
        <f>MONTH(Data[[#This Row],[Date]])</f>
        <v>1</v>
      </c>
      <c r="L19">
        <f>IF(Data[[#This Row],[Category Type]]="Income",Data[[#This Row],[Amount]],0)</f>
        <v>0</v>
      </c>
      <c r="M19">
        <f>IF(Data[[#This Row],[Category Type]]="Expense",-Data[[#This Row],[Amount]],0)</f>
        <v>5</v>
      </c>
    </row>
    <row r="20" spans="1:13" x14ac:dyDescent="0.25">
      <c r="A20" t="s">
        <v>4</v>
      </c>
      <c r="B20" s="1">
        <v>44212</v>
      </c>
      <c r="C20" t="s">
        <v>29</v>
      </c>
      <c r="D20">
        <v>40</v>
      </c>
      <c r="E20">
        <v>0</v>
      </c>
      <c r="F20">
        <v>-40</v>
      </c>
      <c r="G20" t="s">
        <v>21</v>
      </c>
      <c r="H20" t="s">
        <v>30</v>
      </c>
      <c r="I20" t="s">
        <v>16</v>
      </c>
      <c r="J20" t="str">
        <f>TEXT(Data[[#This Row],[Date]],"mmm")</f>
        <v>Jan</v>
      </c>
      <c r="K20">
        <f>MONTH(Data[[#This Row],[Date]])</f>
        <v>1</v>
      </c>
      <c r="L20">
        <f>IF(Data[[#This Row],[Category Type]]="Income",Data[[#This Row],[Amount]],0)</f>
        <v>0</v>
      </c>
      <c r="M20">
        <f>IF(Data[[#This Row],[Category Type]]="Expense",-Data[[#This Row],[Amount]],0)</f>
        <v>40</v>
      </c>
    </row>
    <row r="21" spans="1:13" x14ac:dyDescent="0.25">
      <c r="A21" t="s">
        <v>4</v>
      </c>
      <c r="B21" s="1">
        <v>44212</v>
      </c>
      <c r="C21" t="s">
        <v>31</v>
      </c>
      <c r="D21">
        <v>98</v>
      </c>
      <c r="E21">
        <v>0</v>
      </c>
      <c r="F21">
        <v>-98</v>
      </c>
      <c r="G21" t="s">
        <v>32</v>
      </c>
      <c r="H21" t="s">
        <v>30</v>
      </c>
      <c r="I21" t="s">
        <v>16</v>
      </c>
      <c r="J21" t="str">
        <f>TEXT(Data[[#This Row],[Date]],"mmm")</f>
        <v>Jan</v>
      </c>
      <c r="K21">
        <f>MONTH(Data[[#This Row],[Date]])</f>
        <v>1</v>
      </c>
      <c r="L21">
        <f>IF(Data[[#This Row],[Category Type]]="Income",Data[[#This Row],[Amount]],0)</f>
        <v>0</v>
      </c>
      <c r="M21">
        <f>IF(Data[[#This Row],[Category Type]]="Expense",-Data[[#This Row],[Amount]],0)</f>
        <v>98</v>
      </c>
    </row>
    <row r="22" spans="1:13" x14ac:dyDescent="0.25">
      <c r="A22" t="s">
        <v>4</v>
      </c>
      <c r="B22" s="1">
        <v>44212</v>
      </c>
      <c r="C22" t="s">
        <v>33</v>
      </c>
      <c r="D22">
        <v>52</v>
      </c>
      <c r="E22">
        <v>0</v>
      </c>
      <c r="F22">
        <v>-52</v>
      </c>
      <c r="G22" t="s">
        <v>34</v>
      </c>
      <c r="H22" t="s">
        <v>15</v>
      </c>
      <c r="I22" t="s">
        <v>16</v>
      </c>
      <c r="J22" t="str">
        <f>TEXT(Data[[#This Row],[Date]],"mmm")</f>
        <v>Jan</v>
      </c>
      <c r="K22">
        <f>MONTH(Data[[#This Row],[Date]])</f>
        <v>1</v>
      </c>
      <c r="L22">
        <f>IF(Data[[#This Row],[Category Type]]="Income",Data[[#This Row],[Amount]],0)</f>
        <v>0</v>
      </c>
      <c r="M22">
        <f>IF(Data[[#This Row],[Category Type]]="Expense",-Data[[#This Row],[Amount]],0)</f>
        <v>52</v>
      </c>
    </row>
    <row r="23" spans="1:13" x14ac:dyDescent="0.25">
      <c r="A23" t="s">
        <v>4</v>
      </c>
      <c r="B23" s="1">
        <v>44213</v>
      </c>
      <c r="C23" t="s">
        <v>35</v>
      </c>
      <c r="D23">
        <v>28</v>
      </c>
      <c r="E23">
        <v>0</v>
      </c>
      <c r="F23">
        <v>-28</v>
      </c>
      <c r="G23" t="s">
        <v>36</v>
      </c>
      <c r="H23" t="s">
        <v>22</v>
      </c>
      <c r="I23" t="s">
        <v>16</v>
      </c>
      <c r="J23" t="str">
        <f>TEXT(Data[[#This Row],[Date]],"mmm")</f>
        <v>Jan</v>
      </c>
      <c r="K23">
        <f>MONTH(Data[[#This Row],[Date]])</f>
        <v>1</v>
      </c>
      <c r="L23">
        <f>IF(Data[[#This Row],[Category Type]]="Income",Data[[#This Row],[Amount]],0)</f>
        <v>0</v>
      </c>
      <c r="M23">
        <f>IF(Data[[#This Row],[Category Type]]="Expense",-Data[[#This Row],[Amount]],0)</f>
        <v>28</v>
      </c>
    </row>
    <row r="24" spans="1:13" x14ac:dyDescent="0.25">
      <c r="A24" t="s">
        <v>9</v>
      </c>
      <c r="B24" s="1">
        <v>44214</v>
      </c>
      <c r="C24" t="s">
        <v>37</v>
      </c>
      <c r="D24">
        <v>30</v>
      </c>
      <c r="E24">
        <v>0</v>
      </c>
      <c r="F24">
        <v>-30</v>
      </c>
      <c r="G24" t="s">
        <v>38</v>
      </c>
      <c r="H24" t="s">
        <v>30</v>
      </c>
      <c r="I24" t="s">
        <v>16</v>
      </c>
      <c r="J24" t="str">
        <f>TEXT(Data[[#This Row],[Date]],"mmm")</f>
        <v>Jan</v>
      </c>
      <c r="K24">
        <f>MONTH(Data[[#This Row],[Date]])</f>
        <v>1</v>
      </c>
      <c r="L24">
        <f>IF(Data[[#This Row],[Category Type]]="Income",Data[[#This Row],[Amount]],0)</f>
        <v>0</v>
      </c>
      <c r="M24">
        <f>IF(Data[[#This Row],[Category Type]]="Expense",-Data[[#This Row],[Amount]],0)</f>
        <v>30</v>
      </c>
    </row>
    <row r="25" spans="1:13" x14ac:dyDescent="0.25">
      <c r="A25" t="s">
        <v>4</v>
      </c>
      <c r="B25" s="1">
        <v>44214</v>
      </c>
      <c r="C25" t="s">
        <v>13</v>
      </c>
      <c r="D25">
        <v>5</v>
      </c>
      <c r="E25">
        <v>0</v>
      </c>
      <c r="F25">
        <v>-5</v>
      </c>
      <c r="G25" t="s">
        <v>14</v>
      </c>
      <c r="H25" t="s">
        <v>15</v>
      </c>
      <c r="I25" t="s">
        <v>16</v>
      </c>
      <c r="J25" t="str">
        <f>TEXT(Data[[#This Row],[Date]],"mmm")</f>
        <v>Jan</v>
      </c>
      <c r="K25">
        <f>MONTH(Data[[#This Row],[Date]])</f>
        <v>1</v>
      </c>
      <c r="L25">
        <f>IF(Data[[#This Row],[Category Type]]="Income",Data[[#This Row],[Amount]],0)</f>
        <v>0</v>
      </c>
      <c r="M25">
        <f>IF(Data[[#This Row],[Category Type]]="Expense",-Data[[#This Row],[Amount]],0)</f>
        <v>5</v>
      </c>
    </row>
    <row r="26" spans="1:13" x14ac:dyDescent="0.25">
      <c r="A26" t="s">
        <v>4</v>
      </c>
      <c r="B26" s="1">
        <v>44215</v>
      </c>
      <c r="C26" t="s">
        <v>13</v>
      </c>
      <c r="D26">
        <v>5</v>
      </c>
      <c r="E26">
        <v>0</v>
      </c>
      <c r="F26">
        <v>-5</v>
      </c>
      <c r="G26" t="s">
        <v>14</v>
      </c>
      <c r="H26" t="s">
        <v>15</v>
      </c>
      <c r="I26" t="s">
        <v>16</v>
      </c>
      <c r="J26" t="str">
        <f>TEXT(Data[[#This Row],[Date]],"mmm")</f>
        <v>Jan</v>
      </c>
      <c r="K26">
        <f>MONTH(Data[[#This Row],[Date]])</f>
        <v>1</v>
      </c>
      <c r="L26">
        <f>IF(Data[[#This Row],[Category Type]]="Income",Data[[#This Row],[Amount]],0)</f>
        <v>0</v>
      </c>
      <c r="M26">
        <f>IF(Data[[#This Row],[Category Type]]="Expense",-Data[[#This Row],[Amount]],0)</f>
        <v>5</v>
      </c>
    </row>
    <row r="27" spans="1:13" x14ac:dyDescent="0.25">
      <c r="A27" t="s">
        <v>9</v>
      </c>
      <c r="B27" s="1">
        <v>44215</v>
      </c>
      <c r="C27" t="s">
        <v>39</v>
      </c>
      <c r="D27">
        <v>1504</v>
      </c>
      <c r="E27">
        <v>0</v>
      </c>
      <c r="F27">
        <v>-154</v>
      </c>
      <c r="G27" t="s">
        <v>40</v>
      </c>
      <c r="H27" t="s">
        <v>41</v>
      </c>
      <c r="I27" t="s">
        <v>16</v>
      </c>
      <c r="J27" t="str">
        <f>TEXT(Data[[#This Row],[Date]],"mmm")</f>
        <v>Jan</v>
      </c>
      <c r="K27">
        <f>MONTH(Data[[#This Row],[Date]])</f>
        <v>1</v>
      </c>
      <c r="L27">
        <f>IF(Data[[#This Row],[Category Type]]="Income",Data[[#This Row],[Amount]],0)</f>
        <v>0</v>
      </c>
      <c r="M27">
        <f>IF(Data[[#This Row],[Category Type]]="Expense",-Data[[#This Row],[Amount]],0)</f>
        <v>154</v>
      </c>
    </row>
    <row r="28" spans="1:13" x14ac:dyDescent="0.25">
      <c r="A28" t="s">
        <v>9</v>
      </c>
      <c r="B28" s="1">
        <v>44215</v>
      </c>
      <c r="C28" t="s">
        <v>42</v>
      </c>
      <c r="D28">
        <v>40</v>
      </c>
      <c r="E28">
        <v>0</v>
      </c>
      <c r="F28">
        <v>-40</v>
      </c>
      <c r="G28" t="s">
        <v>43</v>
      </c>
      <c r="H28" t="s">
        <v>19</v>
      </c>
      <c r="I28" t="s">
        <v>16</v>
      </c>
      <c r="J28" t="str">
        <f>TEXT(Data[[#This Row],[Date]],"mmm")</f>
        <v>Jan</v>
      </c>
      <c r="K28">
        <f>MONTH(Data[[#This Row],[Date]])</f>
        <v>1</v>
      </c>
      <c r="L28">
        <f>IF(Data[[#This Row],[Category Type]]="Income",Data[[#This Row],[Amount]],0)</f>
        <v>0</v>
      </c>
      <c r="M28">
        <f>IF(Data[[#This Row],[Category Type]]="Expense",-Data[[#This Row],[Amount]],0)</f>
        <v>40</v>
      </c>
    </row>
    <row r="29" spans="1:13" x14ac:dyDescent="0.25">
      <c r="A29" t="s">
        <v>4</v>
      </c>
      <c r="B29" s="1">
        <v>44216</v>
      </c>
      <c r="C29" t="s">
        <v>44</v>
      </c>
      <c r="D29">
        <v>45</v>
      </c>
      <c r="E29">
        <v>0</v>
      </c>
      <c r="F29">
        <v>-45</v>
      </c>
      <c r="G29" t="s">
        <v>45</v>
      </c>
      <c r="H29" t="s">
        <v>30</v>
      </c>
      <c r="I29" t="s">
        <v>16</v>
      </c>
      <c r="J29" t="str">
        <f>TEXT(Data[[#This Row],[Date]],"mmm")</f>
        <v>Jan</v>
      </c>
      <c r="K29">
        <f>MONTH(Data[[#This Row],[Date]])</f>
        <v>1</v>
      </c>
      <c r="L29">
        <f>IF(Data[[#This Row],[Category Type]]="Income",Data[[#This Row],[Amount]],0)</f>
        <v>0</v>
      </c>
      <c r="M29">
        <f>IF(Data[[#This Row],[Category Type]]="Expense",-Data[[#This Row],[Amount]],0)</f>
        <v>45</v>
      </c>
    </row>
    <row r="30" spans="1:13" x14ac:dyDescent="0.25">
      <c r="A30" t="s">
        <v>4</v>
      </c>
      <c r="B30" s="1">
        <v>44216</v>
      </c>
      <c r="C30" t="s">
        <v>46</v>
      </c>
      <c r="D30">
        <v>32</v>
      </c>
      <c r="E30">
        <v>0</v>
      </c>
      <c r="F30">
        <v>-32</v>
      </c>
      <c r="G30" t="s">
        <v>21</v>
      </c>
      <c r="H30" t="s">
        <v>30</v>
      </c>
      <c r="I30" t="s">
        <v>16</v>
      </c>
      <c r="J30" t="str">
        <f>TEXT(Data[[#This Row],[Date]],"mmm")</f>
        <v>Jan</v>
      </c>
      <c r="K30">
        <f>MONTH(Data[[#This Row],[Date]])</f>
        <v>1</v>
      </c>
      <c r="L30">
        <f>IF(Data[[#This Row],[Category Type]]="Income",Data[[#This Row],[Amount]],0)</f>
        <v>0</v>
      </c>
      <c r="M30">
        <f>IF(Data[[#This Row],[Category Type]]="Expense",-Data[[#This Row],[Amount]],0)</f>
        <v>32</v>
      </c>
    </row>
    <row r="31" spans="1:13" x14ac:dyDescent="0.25">
      <c r="A31" t="s">
        <v>4</v>
      </c>
      <c r="B31" s="1">
        <v>44216</v>
      </c>
      <c r="C31" t="s">
        <v>13</v>
      </c>
      <c r="D31">
        <v>5</v>
      </c>
      <c r="E31">
        <v>0</v>
      </c>
      <c r="F31">
        <v>-5</v>
      </c>
      <c r="G31" t="s">
        <v>14</v>
      </c>
      <c r="H31" t="s">
        <v>15</v>
      </c>
      <c r="I31" t="s">
        <v>16</v>
      </c>
      <c r="J31" t="str">
        <f>TEXT(Data[[#This Row],[Date]],"mmm")</f>
        <v>Jan</v>
      </c>
      <c r="K31">
        <f>MONTH(Data[[#This Row],[Date]])</f>
        <v>1</v>
      </c>
      <c r="L31">
        <f>IF(Data[[#This Row],[Category Type]]="Income",Data[[#This Row],[Amount]],0)</f>
        <v>0</v>
      </c>
      <c r="M31">
        <f>IF(Data[[#This Row],[Category Type]]="Expense",-Data[[#This Row],[Amount]],0)</f>
        <v>5</v>
      </c>
    </row>
    <row r="32" spans="1:13" x14ac:dyDescent="0.25">
      <c r="A32" t="s">
        <v>4</v>
      </c>
      <c r="B32" s="1">
        <v>44217</v>
      </c>
      <c r="C32" t="s">
        <v>13</v>
      </c>
      <c r="D32">
        <v>5</v>
      </c>
      <c r="E32">
        <v>0</v>
      </c>
      <c r="F32">
        <v>-5</v>
      </c>
      <c r="G32" t="s">
        <v>14</v>
      </c>
      <c r="H32" t="s">
        <v>15</v>
      </c>
      <c r="I32" t="s">
        <v>16</v>
      </c>
      <c r="J32" t="str">
        <f>TEXT(Data[[#This Row],[Date]],"mmm")</f>
        <v>Jan</v>
      </c>
      <c r="K32">
        <f>MONTH(Data[[#This Row],[Date]])</f>
        <v>1</v>
      </c>
      <c r="L32">
        <f>IF(Data[[#This Row],[Category Type]]="Income",Data[[#This Row],[Amount]],0)</f>
        <v>0</v>
      </c>
      <c r="M32">
        <f>IF(Data[[#This Row],[Category Type]]="Expense",-Data[[#This Row],[Amount]],0)</f>
        <v>5</v>
      </c>
    </row>
    <row r="33" spans="1:13" x14ac:dyDescent="0.25">
      <c r="A33" t="s">
        <v>4</v>
      </c>
      <c r="B33" s="1">
        <v>44218</v>
      </c>
      <c r="C33" t="s">
        <v>13</v>
      </c>
      <c r="D33">
        <v>5</v>
      </c>
      <c r="E33">
        <v>0</v>
      </c>
      <c r="F33">
        <v>-5</v>
      </c>
      <c r="G33" t="s">
        <v>14</v>
      </c>
      <c r="H33" t="s">
        <v>15</v>
      </c>
      <c r="I33" t="s">
        <v>16</v>
      </c>
      <c r="J33" t="str">
        <f>TEXT(Data[[#This Row],[Date]],"mmm")</f>
        <v>Jan</v>
      </c>
      <c r="K33">
        <f>MONTH(Data[[#This Row],[Date]])</f>
        <v>1</v>
      </c>
      <c r="L33">
        <f>IF(Data[[#This Row],[Category Type]]="Income",Data[[#This Row],[Amount]],0)</f>
        <v>0</v>
      </c>
      <c r="M33">
        <f>IF(Data[[#This Row],[Category Type]]="Expense",-Data[[#This Row],[Amount]],0)</f>
        <v>5</v>
      </c>
    </row>
    <row r="34" spans="1:13" x14ac:dyDescent="0.25">
      <c r="A34" t="s">
        <v>4</v>
      </c>
      <c r="B34" s="1">
        <v>44218</v>
      </c>
      <c r="C34" t="s">
        <v>23</v>
      </c>
      <c r="D34">
        <v>170</v>
      </c>
      <c r="E34">
        <v>0</v>
      </c>
      <c r="F34">
        <v>-170</v>
      </c>
      <c r="G34" t="s">
        <v>24</v>
      </c>
      <c r="H34" t="s">
        <v>19</v>
      </c>
      <c r="I34" t="s">
        <v>16</v>
      </c>
      <c r="J34" t="str">
        <f>TEXT(Data[[#This Row],[Date]],"mmm")</f>
        <v>Jan</v>
      </c>
      <c r="K34">
        <f>MONTH(Data[[#This Row],[Date]])</f>
        <v>1</v>
      </c>
      <c r="L34">
        <f>IF(Data[[#This Row],[Category Type]]="Income",Data[[#This Row],[Amount]],0)</f>
        <v>0</v>
      </c>
      <c r="M34">
        <f>IF(Data[[#This Row],[Category Type]]="Expense",-Data[[#This Row],[Amount]],0)</f>
        <v>170</v>
      </c>
    </row>
    <row r="35" spans="1:13" x14ac:dyDescent="0.25">
      <c r="A35" t="s">
        <v>4</v>
      </c>
      <c r="B35" s="1">
        <v>44219</v>
      </c>
      <c r="C35" t="s">
        <v>47</v>
      </c>
      <c r="D35">
        <v>37</v>
      </c>
      <c r="E35">
        <v>0</v>
      </c>
      <c r="F35">
        <v>-37</v>
      </c>
      <c r="G35" t="s">
        <v>34</v>
      </c>
      <c r="H35" t="s">
        <v>15</v>
      </c>
      <c r="I35" t="s">
        <v>16</v>
      </c>
      <c r="J35" t="str">
        <f>TEXT(Data[[#This Row],[Date]],"mmm")</f>
        <v>Jan</v>
      </c>
      <c r="K35">
        <f>MONTH(Data[[#This Row],[Date]])</f>
        <v>1</v>
      </c>
      <c r="L35">
        <f>IF(Data[[#This Row],[Category Type]]="Income",Data[[#This Row],[Amount]],0)</f>
        <v>0</v>
      </c>
      <c r="M35">
        <f>IF(Data[[#This Row],[Category Type]]="Expense",-Data[[#This Row],[Amount]],0)</f>
        <v>37</v>
      </c>
    </row>
    <row r="36" spans="1:13" x14ac:dyDescent="0.25">
      <c r="A36" t="s">
        <v>4</v>
      </c>
      <c r="B36" s="1">
        <v>44220</v>
      </c>
      <c r="C36" t="s">
        <v>48</v>
      </c>
      <c r="D36">
        <v>12</v>
      </c>
      <c r="E36">
        <v>0</v>
      </c>
      <c r="F36">
        <v>-12</v>
      </c>
      <c r="G36" t="s">
        <v>34</v>
      </c>
      <c r="H36" t="s">
        <v>15</v>
      </c>
      <c r="I36" t="s">
        <v>16</v>
      </c>
      <c r="J36" t="str">
        <f>TEXT(Data[[#This Row],[Date]],"mmm")</f>
        <v>Jan</v>
      </c>
      <c r="K36">
        <f>MONTH(Data[[#This Row],[Date]])</f>
        <v>1</v>
      </c>
      <c r="L36">
        <f>IF(Data[[#This Row],[Category Type]]="Income",Data[[#This Row],[Amount]],0)</f>
        <v>0</v>
      </c>
      <c r="M36">
        <f>IF(Data[[#This Row],[Category Type]]="Expense",-Data[[#This Row],[Amount]],0)</f>
        <v>12</v>
      </c>
    </row>
    <row r="37" spans="1:13" x14ac:dyDescent="0.25">
      <c r="A37" t="s">
        <v>9</v>
      </c>
      <c r="B37" s="1">
        <v>44221</v>
      </c>
      <c r="C37" t="s">
        <v>49</v>
      </c>
      <c r="D37">
        <v>70</v>
      </c>
      <c r="E37">
        <v>0</v>
      </c>
      <c r="F37">
        <v>55</v>
      </c>
      <c r="G37" t="s">
        <v>50</v>
      </c>
      <c r="H37" t="s">
        <v>51</v>
      </c>
      <c r="I37" t="s">
        <v>16</v>
      </c>
      <c r="J37" t="str">
        <f>TEXT(Data[[#This Row],[Date]],"mmm")</f>
        <v>Jan</v>
      </c>
      <c r="K37">
        <f>MONTH(Data[[#This Row],[Date]])</f>
        <v>1</v>
      </c>
      <c r="L37">
        <f>IF(Data[[#This Row],[Category Type]]="Income",Data[[#This Row],[Amount]],0)</f>
        <v>0</v>
      </c>
      <c r="M37">
        <f>IF(Data[[#This Row],[Category Type]]="Expense",-Data[[#This Row],[Amount]],0)</f>
        <v>-55</v>
      </c>
    </row>
    <row r="38" spans="1:13" x14ac:dyDescent="0.25">
      <c r="A38" t="s">
        <v>4</v>
      </c>
      <c r="B38" s="1">
        <v>44221</v>
      </c>
      <c r="C38" t="s">
        <v>27</v>
      </c>
      <c r="D38">
        <v>63</v>
      </c>
      <c r="E38">
        <v>0</v>
      </c>
      <c r="F38">
        <v>-63</v>
      </c>
      <c r="G38" t="s">
        <v>28</v>
      </c>
      <c r="H38" t="s">
        <v>22</v>
      </c>
      <c r="I38" t="s">
        <v>16</v>
      </c>
      <c r="J38" t="str">
        <f>TEXT(Data[[#This Row],[Date]],"mmm")</f>
        <v>Jan</v>
      </c>
      <c r="K38">
        <f>MONTH(Data[[#This Row],[Date]])</f>
        <v>1</v>
      </c>
      <c r="L38">
        <f>IF(Data[[#This Row],[Category Type]]="Income",Data[[#This Row],[Amount]],0)</f>
        <v>0</v>
      </c>
      <c r="M38">
        <f>IF(Data[[#This Row],[Category Type]]="Expense",-Data[[#This Row],[Amount]],0)</f>
        <v>63</v>
      </c>
    </row>
    <row r="39" spans="1:13" x14ac:dyDescent="0.25">
      <c r="A39" t="s">
        <v>4</v>
      </c>
      <c r="B39" s="1">
        <v>44221</v>
      </c>
      <c r="C39" t="s">
        <v>13</v>
      </c>
      <c r="D39">
        <v>5</v>
      </c>
      <c r="E39">
        <v>0</v>
      </c>
      <c r="F39">
        <v>-5</v>
      </c>
      <c r="G39" t="s">
        <v>14</v>
      </c>
      <c r="H39" t="s">
        <v>15</v>
      </c>
      <c r="I39" t="s">
        <v>16</v>
      </c>
      <c r="J39" t="str">
        <f>TEXT(Data[[#This Row],[Date]],"mmm")</f>
        <v>Jan</v>
      </c>
      <c r="K39">
        <f>MONTH(Data[[#This Row],[Date]])</f>
        <v>1</v>
      </c>
      <c r="L39">
        <f>IF(Data[[#This Row],[Category Type]]="Income",Data[[#This Row],[Amount]],0)</f>
        <v>0</v>
      </c>
      <c r="M39">
        <f>IF(Data[[#This Row],[Category Type]]="Expense",-Data[[#This Row],[Amount]],0)</f>
        <v>5</v>
      </c>
    </row>
    <row r="40" spans="1:13" x14ac:dyDescent="0.25">
      <c r="A40" t="s">
        <v>4</v>
      </c>
      <c r="B40" s="1">
        <v>44222</v>
      </c>
      <c r="C40" t="s">
        <v>13</v>
      </c>
      <c r="D40">
        <v>5</v>
      </c>
      <c r="E40">
        <v>0</v>
      </c>
      <c r="F40">
        <v>-5</v>
      </c>
      <c r="G40" t="s">
        <v>14</v>
      </c>
      <c r="H40" t="s">
        <v>15</v>
      </c>
      <c r="I40" t="s">
        <v>16</v>
      </c>
      <c r="J40" t="str">
        <f>TEXT(Data[[#This Row],[Date]],"mmm")</f>
        <v>Jan</v>
      </c>
      <c r="K40">
        <f>MONTH(Data[[#This Row],[Date]])</f>
        <v>1</v>
      </c>
      <c r="L40">
        <f>IF(Data[[#This Row],[Category Type]]="Income",Data[[#This Row],[Amount]],0)</f>
        <v>0</v>
      </c>
      <c r="M40">
        <f>IF(Data[[#This Row],[Category Type]]="Expense",-Data[[#This Row],[Amount]],0)</f>
        <v>5</v>
      </c>
    </row>
    <row r="41" spans="1:13" x14ac:dyDescent="0.25">
      <c r="A41" t="s">
        <v>4</v>
      </c>
      <c r="B41" s="1">
        <v>44223</v>
      </c>
      <c r="C41" t="s">
        <v>13</v>
      </c>
      <c r="D41">
        <v>5</v>
      </c>
      <c r="E41">
        <v>0</v>
      </c>
      <c r="F41">
        <v>-5</v>
      </c>
      <c r="G41" t="s">
        <v>14</v>
      </c>
      <c r="H41" t="s">
        <v>15</v>
      </c>
      <c r="I41" t="s">
        <v>16</v>
      </c>
      <c r="J41" t="str">
        <f>TEXT(Data[[#This Row],[Date]],"mmm")</f>
        <v>Jan</v>
      </c>
      <c r="K41">
        <f>MONTH(Data[[#This Row],[Date]])</f>
        <v>1</v>
      </c>
      <c r="L41">
        <f>IF(Data[[#This Row],[Category Type]]="Income",Data[[#This Row],[Amount]],0)</f>
        <v>0</v>
      </c>
      <c r="M41">
        <f>IF(Data[[#This Row],[Category Type]]="Expense",-Data[[#This Row],[Amount]],0)</f>
        <v>5</v>
      </c>
    </row>
    <row r="42" spans="1:13" x14ac:dyDescent="0.25">
      <c r="A42" t="s">
        <v>4</v>
      </c>
      <c r="B42" s="1">
        <v>44224</v>
      </c>
      <c r="C42" t="s">
        <v>13</v>
      </c>
      <c r="D42">
        <v>5</v>
      </c>
      <c r="E42">
        <v>0</v>
      </c>
      <c r="F42">
        <v>-5</v>
      </c>
      <c r="G42" t="s">
        <v>14</v>
      </c>
      <c r="H42" t="s">
        <v>15</v>
      </c>
      <c r="I42" t="s">
        <v>16</v>
      </c>
      <c r="J42" t="str">
        <f>TEXT(Data[[#This Row],[Date]],"mmm")</f>
        <v>Jan</v>
      </c>
      <c r="K42">
        <f>MONTH(Data[[#This Row],[Date]])</f>
        <v>1</v>
      </c>
      <c r="L42">
        <f>IF(Data[[#This Row],[Category Type]]="Income",Data[[#This Row],[Amount]],0)</f>
        <v>0</v>
      </c>
      <c r="M42">
        <f>IF(Data[[#This Row],[Category Type]]="Expense",-Data[[#This Row],[Amount]],0)</f>
        <v>5</v>
      </c>
    </row>
    <row r="43" spans="1:13" x14ac:dyDescent="0.25">
      <c r="A43" t="s">
        <v>4</v>
      </c>
      <c r="B43" s="1">
        <v>44225</v>
      </c>
      <c r="C43" t="s">
        <v>13</v>
      </c>
      <c r="D43">
        <v>5</v>
      </c>
      <c r="E43">
        <v>0</v>
      </c>
      <c r="F43">
        <v>-5</v>
      </c>
      <c r="G43" t="s">
        <v>14</v>
      </c>
      <c r="H43" t="s">
        <v>15</v>
      </c>
      <c r="I43" t="s">
        <v>16</v>
      </c>
      <c r="J43" t="str">
        <f>TEXT(Data[[#This Row],[Date]],"mmm")</f>
        <v>Jan</v>
      </c>
      <c r="K43">
        <f>MONTH(Data[[#This Row],[Date]])</f>
        <v>1</v>
      </c>
      <c r="L43">
        <f>IF(Data[[#This Row],[Category Type]]="Income",Data[[#This Row],[Amount]],0)</f>
        <v>0</v>
      </c>
      <c r="M43">
        <f>IF(Data[[#This Row],[Category Type]]="Expense",-Data[[#This Row],[Amount]],0)</f>
        <v>5</v>
      </c>
    </row>
    <row r="44" spans="1:13" x14ac:dyDescent="0.25">
      <c r="A44" t="s">
        <v>4</v>
      </c>
      <c r="B44" s="1">
        <v>44225</v>
      </c>
      <c r="C44" t="s">
        <v>23</v>
      </c>
      <c r="D44">
        <v>162</v>
      </c>
      <c r="E44">
        <v>0</v>
      </c>
      <c r="F44">
        <v>-162</v>
      </c>
      <c r="G44" t="s">
        <v>24</v>
      </c>
      <c r="H44" t="s">
        <v>19</v>
      </c>
      <c r="I44" t="s">
        <v>16</v>
      </c>
      <c r="J44" t="str">
        <f>TEXT(Data[[#This Row],[Date]],"mmm")</f>
        <v>Jan</v>
      </c>
      <c r="K44">
        <f>MONTH(Data[[#This Row],[Date]])</f>
        <v>1</v>
      </c>
      <c r="L44">
        <f>IF(Data[[#This Row],[Category Type]]="Income",Data[[#This Row],[Amount]],0)</f>
        <v>0</v>
      </c>
      <c r="M44">
        <f>IF(Data[[#This Row],[Category Type]]="Expense",-Data[[#This Row],[Amount]],0)</f>
        <v>162</v>
      </c>
    </row>
    <row r="45" spans="1:13" x14ac:dyDescent="0.25">
      <c r="A45" t="s">
        <v>4</v>
      </c>
      <c r="B45" s="1">
        <v>44226</v>
      </c>
      <c r="C45" t="s">
        <v>52</v>
      </c>
      <c r="D45">
        <v>125</v>
      </c>
      <c r="E45">
        <v>0</v>
      </c>
      <c r="F45">
        <v>-125</v>
      </c>
      <c r="G45" t="s">
        <v>32</v>
      </c>
      <c r="H45" t="s">
        <v>30</v>
      </c>
      <c r="I45" t="s">
        <v>16</v>
      </c>
      <c r="J45" t="str">
        <f>TEXT(Data[[#This Row],[Date]],"mmm")</f>
        <v>Jan</v>
      </c>
      <c r="K45">
        <f>MONTH(Data[[#This Row],[Date]])</f>
        <v>1</v>
      </c>
      <c r="L45">
        <f>IF(Data[[#This Row],[Category Type]]="Income",Data[[#This Row],[Amount]],0)</f>
        <v>0</v>
      </c>
      <c r="M45">
        <f>IF(Data[[#This Row],[Category Type]]="Expense",-Data[[#This Row],[Amount]],0)</f>
        <v>125</v>
      </c>
    </row>
    <row r="46" spans="1:13" x14ac:dyDescent="0.25">
      <c r="A46" t="s">
        <v>4</v>
      </c>
      <c r="B46" s="1">
        <v>44226</v>
      </c>
      <c r="C46" t="s">
        <v>53</v>
      </c>
      <c r="D46">
        <v>175</v>
      </c>
      <c r="E46">
        <v>0</v>
      </c>
      <c r="F46">
        <v>-175</v>
      </c>
      <c r="G46" t="s">
        <v>21</v>
      </c>
      <c r="H46" t="s">
        <v>30</v>
      </c>
      <c r="I46" t="s">
        <v>16</v>
      </c>
      <c r="J46" t="str">
        <f>TEXT(Data[[#This Row],[Date]],"mmm")</f>
        <v>Jan</v>
      </c>
      <c r="K46">
        <f>MONTH(Data[[#This Row],[Date]])</f>
        <v>1</v>
      </c>
      <c r="L46">
        <f>IF(Data[[#This Row],[Category Type]]="Income",Data[[#This Row],[Amount]],0)</f>
        <v>0</v>
      </c>
      <c r="M46">
        <f>IF(Data[[#This Row],[Category Type]]="Expense",-Data[[#This Row],[Amount]],0)</f>
        <v>175</v>
      </c>
    </row>
    <row r="47" spans="1:13" x14ac:dyDescent="0.25">
      <c r="A47" t="s">
        <v>4</v>
      </c>
      <c r="B47" s="1">
        <v>44227</v>
      </c>
      <c r="C47" t="s">
        <v>31</v>
      </c>
      <c r="D47">
        <v>145</v>
      </c>
      <c r="E47">
        <v>0</v>
      </c>
      <c r="F47">
        <v>-145</v>
      </c>
      <c r="G47" t="s">
        <v>32</v>
      </c>
      <c r="H47" t="s">
        <v>30</v>
      </c>
      <c r="I47" t="s">
        <v>16</v>
      </c>
      <c r="J47" t="str">
        <f>TEXT(Data[[#This Row],[Date]],"mmm")</f>
        <v>Jan</v>
      </c>
      <c r="K47">
        <f>MONTH(Data[[#This Row],[Date]])</f>
        <v>1</v>
      </c>
      <c r="L47">
        <f>IF(Data[[#This Row],[Category Type]]="Income",Data[[#This Row],[Amount]],0)</f>
        <v>0</v>
      </c>
      <c r="M47">
        <f>IF(Data[[#This Row],[Category Type]]="Expense",-Data[[#This Row],[Amount]],0)</f>
        <v>145</v>
      </c>
    </row>
    <row r="48" spans="1:13" x14ac:dyDescent="0.25">
      <c r="A48" t="s">
        <v>4</v>
      </c>
      <c r="B48" s="1">
        <v>44227</v>
      </c>
      <c r="C48" t="s">
        <v>35</v>
      </c>
      <c r="D48">
        <v>23</v>
      </c>
      <c r="E48">
        <v>0</v>
      </c>
      <c r="F48">
        <v>-23</v>
      </c>
      <c r="G48" t="s">
        <v>36</v>
      </c>
      <c r="H48" t="s">
        <v>22</v>
      </c>
      <c r="I48" t="s">
        <v>16</v>
      </c>
      <c r="J48" t="str">
        <f>TEXT(Data[[#This Row],[Date]],"mmm")</f>
        <v>Jan</v>
      </c>
      <c r="K48">
        <f>MONTH(Data[[#This Row],[Date]])</f>
        <v>1</v>
      </c>
      <c r="L48">
        <f>IF(Data[[#This Row],[Category Type]]="Income",Data[[#This Row],[Amount]],0)</f>
        <v>0</v>
      </c>
      <c r="M48">
        <f>IF(Data[[#This Row],[Category Type]]="Expense",-Data[[#This Row],[Amount]],0)</f>
        <v>23</v>
      </c>
    </row>
    <row r="49" spans="1:13" x14ac:dyDescent="0.25">
      <c r="A49" t="s">
        <v>9</v>
      </c>
      <c r="B49" s="1">
        <v>44228</v>
      </c>
      <c r="C49" t="s">
        <v>10</v>
      </c>
      <c r="D49">
        <v>0</v>
      </c>
      <c r="E49">
        <v>4000</v>
      </c>
      <c r="F49">
        <v>4000</v>
      </c>
      <c r="G49" t="s">
        <v>11</v>
      </c>
      <c r="H49" t="s">
        <v>11</v>
      </c>
      <c r="I49" t="s">
        <v>12</v>
      </c>
      <c r="J49" t="str">
        <f>TEXT(Data[[#This Row],[Date]],"mmm")</f>
        <v>Feb</v>
      </c>
      <c r="K49">
        <f>MONTH(Data[[#This Row],[Date]])</f>
        <v>2</v>
      </c>
      <c r="L49">
        <f>IF(Data[[#This Row],[Category Type]]="Income",Data[[#This Row],[Amount]],0)</f>
        <v>4000</v>
      </c>
      <c r="M49">
        <f>IF(Data[[#This Row],[Category Type]]="Expense",-Data[[#This Row],[Amount]],0)</f>
        <v>0</v>
      </c>
    </row>
    <row r="50" spans="1:13" x14ac:dyDescent="0.25">
      <c r="A50" t="s">
        <v>4</v>
      </c>
      <c r="B50" s="1">
        <v>44228</v>
      </c>
      <c r="C50" t="s">
        <v>13</v>
      </c>
      <c r="D50">
        <v>5</v>
      </c>
      <c r="E50">
        <v>0</v>
      </c>
      <c r="F50">
        <v>-5</v>
      </c>
      <c r="G50" t="s">
        <v>14</v>
      </c>
      <c r="H50" t="s">
        <v>15</v>
      </c>
      <c r="I50" t="s">
        <v>16</v>
      </c>
      <c r="J50" t="str">
        <f>TEXT(Data[[#This Row],[Date]],"mmm")</f>
        <v>Feb</v>
      </c>
      <c r="K50">
        <f>MONTH(Data[[#This Row],[Date]])</f>
        <v>2</v>
      </c>
      <c r="L50">
        <f>IF(Data[[#This Row],[Category Type]]="Income",Data[[#This Row],[Amount]],0)</f>
        <v>0</v>
      </c>
      <c r="M50">
        <f>IF(Data[[#This Row],[Category Type]]="Expense",-Data[[#This Row],[Amount]],0)</f>
        <v>5</v>
      </c>
    </row>
    <row r="51" spans="1:13" x14ac:dyDescent="0.25">
      <c r="A51" t="s">
        <v>9</v>
      </c>
      <c r="B51" s="1">
        <v>44229</v>
      </c>
      <c r="C51" t="s">
        <v>17</v>
      </c>
      <c r="D51">
        <v>900</v>
      </c>
      <c r="E51">
        <v>0</v>
      </c>
      <c r="F51">
        <v>-900</v>
      </c>
      <c r="G51" t="s">
        <v>18</v>
      </c>
      <c r="H51" t="s">
        <v>19</v>
      </c>
      <c r="I51" t="s">
        <v>16</v>
      </c>
      <c r="J51" t="str">
        <f>TEXT(Data[[#This Row],[Date]],"mmm")</f>
        <v>Feb</v>
      </c>
      <c r="K51">
        <f>MONTH(Data[[#This Row],[Date]])</f>
        <v>2</v>
      </c>
      <c r="L51">
        <f>IF(Data[[#This Row],[Category Type]]="Income",Data[[#This Row],[Amount]],0)</f>
        <v>0</v>
      </c>
      <c r="M51">
        <f>IF(Data[[#This Row],[Category Type]]="Expense",-Data[[#This Row],[Amount]],0)</f>
        <v>900</v>
      </c>
    </row>
    <row r="52" spans="1:13" x14ac:dyDescent="0.25">
      <c r="A52" t="s">
        <v>9</v>
      </c>
      <c r="B52" s="1">
        <v>44229</v>
      </c>
      <c r="C52" t="s">
        <v>20</v>
      </c>
      <c r="D52">
        <v>150</v>
      </c>
      <c r="E52">
        <v>0</v>
      </c>
      <c r="F52">
        <v>-150</v>
      </c>
      <c r="G52" t="s">
        <v>21</v>
      </c>
      <c r="H52" t="s">
        <v>22</v>
      </c>
      <c r="I52" t="s">
        <v>16</v>
      </c>
      <c r="J52" t="str">
        <f>TEXT(Data[[#This Row],[Date]],"mmm")</f>
        <v>Feb</v>
      </c>
      <c r="K52">
        <f>MONTH(Data[[#This Row],[Date]])</f>
        <v>2</v>
      </c>
      <c r="L52">
        <f>IF(Data[[#This Row],[Category Type]]="Income",Data[[#This Row],[Amount]],0)</f>
        <v>0</v>
      </c>
      <c r="M52">
        <f>IF(Data[[#This Row],[Category Type]]="Expense",-Data[[#This Row],[Amount]],0)</f>
        <v>150</v>
      </c>
    </row>
    <row r="53" spans="1:13" x14ac:dyDescent="0.25">
      <c r="A53" t="s">
        <v>4</v>
      </c>
      <c r="B53" s="1">
        <v>44229</v>
      </c>
      <c r="C53" t="s">
        <v>13</v>
      </c>
      <c r="D53">
        <v>5</v>
      </c>
      <c r="E53">
        <v>0</v>
      </c>
      <c r="F53">
        <v>-5</v>
      </c>
      <c r="G53" t="s">
        <v>14</v>
      </c>
      <c r="H53" t="s">
        <v>15</v>
      </c>
      <c r="I53" t="s">
        <v>16</v>
      </c>
      <c r="J53" t="str">
        <f>TEXT(Data[[#This Row],[Date]],"mmm")</f>
        <v>Feb</v>
      </c>
      <c r="K53">
        <f>MONTH(Data[[#This Row],[Date]])</f>
        <v>2</v>
      </c>
      <c r="L53">
        <f>IF(Data[[#This Row],[Category Type]]="Income",Data[[#This Row],[Amount]],0)</f>
        <v>0</v>
      </c>
      <c r="M53">
        <f>IF(Data[[#This Row],[Category Type]]="Expense",-Data[[#This Row],[Amount]],0)</f>
        <v>5</v>
      </c>
    </row>
    <row r="54" spans="1:13" x14ac:dyDescent="0.25">
      <c r="A54" t="s">
        <v>4</v>
      </c>
      <c r="B54" s="1">
        <v>44230</v>
      </c>
      <c r="C54" t="s">
        <v>13</v>
      </c>
      <c r="D54">
        <v>5</v>
      </c>
      <c r="E54">
        <v>0</v>
      </c>
      <c r="F54">
        <v>-5</v>
      </c>
      <c r="G54" t="s">
        <v>14</v>
      </c>
      <c r="H54" t="s">
        <v>15</v>
      </c>
      <c r="I54" t="s">
        <v>16</v>
      </c>
      <c r="J54" t="str">
        <f>TEXT(Data[[#This Row],[Date]],"mmm")</f>
        <v>Feb</v>
      </c>
      <c r="K54">
        <f>MONTH(Data[[#This Row],[Date]])</f>
        <v>2</v>
      </c>
      <c r="L54">
        <f>IF(Data[[#This Row],[Category Type]]="Income",Data[[#This Row],[Amount]],0)</f>
        <v>0</v>
      </c>
      <c r="M54">
        <f>IF(Data[[#This Row],[Category Type]]="Expense",-Data[[#This Row],[Amount]],0)</f>
        <v>5</v>
      </c>
    </row>
    <row r="55" spans="1:13" x14ac:dyDescent="0.25">
      <c r="A55" t="s">
        <v>4</v>
      </c>
      <c r="B55" s="1">
        <v>44231</v>
      </c>
      <c r="C55" t="s">
        <v>13</v>
      </c>
      <c r="D55">
        <v>5</v>
      </c>
      <c r="E55">
        <v>0</v>
      </c>
      <c r="F55">
        <v>-5</v>
      </c>
      <c r="G55" t="s">
        <v>14</v>
      </c>
      <c r="H55" t="s">
        <v>15</v>
      </c>
      <c r="I55" t="s">
        <v>16</v>
      </c>
      <c r="J55" t="str">
        <f>TEXT(Data[[#This Row],[Date]],"mmm")</f>
        <v>Feb</v>
      </c>
      <c r="K55">
        <f>MONTH(Data[[#This Row],[Date]])</f>
        <v>2</v>
      </c>
      <c r="L55">
        <f>IF(Data[[#This Row],[Category Type]]="Income",Data[[#This Row],[Amount]],0)</f>
        <v>0</v>
      </c>
      <c r="M55">
        <f>IF(Data[[#This Row],[Category Type]]="Expense",-Data[[#This Row],[Amount]],0)</f>
        <v>5</v>
      </c>
    </row>
    <row r="56" spans="1:13" x14ac:dyDescent="0.25">
      <c r="A56" t="s">
        <v>4</v>
      </c>
      <c r="B56" s="1">
        <v>44232</v>
      </c>
      <c r="C56" t="s">
        <v>13</v>
      </c>
      <c r="D56">
        <v>5</v>
      </c>
      <c r="E56">
        <v>0</v>
      </c>
      <c r="F56">
        <v>-5</v>
      </c>
      <c r="G56" t="s">
        <v>14</v>
      </c>
      <c r="H56" t="s">
        <v>15</v>
      </c>
      <c r="I56" t="s">
        <v>16</v>
      </c>
      <c r="J56" t="str">
        <f>TEXT(Data[[#This Row],[Date]],"mmm")</f>
        <v>Feb</v>
      </c>
      <c r="K56">
        <f>MONTH(Data[[#This Row],[Date]])</f>
        <v>2</v>
      </c>
      <c r="L56">
        <f>IF(Data[[#This Row],[Category Type]]="Income",Data[[#This Row],[Amount]],0)</f>
        <v>0</v>
      </c>
      <c r="M56">
        <f>IF(Data[[#This Row],[Category Type]]="Expense",-Data[[#This Row],[Amount]],0)</f>
        <v>5</v>
      </c>
    </row>
    <row r="57" spans="1:13" x14ac:dyDescent="0.25">
      <c r="A57" t="s">
        <v>4</v>
      </c>
      <c r="B57" s="1">
        <v>44232</v>
      </c>
      <c r="C57" t="s">
        <v>23</v>
      </c>
      <c r="D57">
        <v>205</v>
      </c>
      <c r="E57">
        <v>0</v>
      </c>
      <c r="F57">
        <v>-205</v>
      </c>
      <c r="G57" t="s">
        <v>24</v>
      </c>
      <c r="H57" t="s">
        <v>19</v>
      </c>
      <c r="I57" t="s">
        <v>16</v>
      </c>
      <c r="J57" t="str">
        <f>TEXT(Data[[#This Row],[Date]],"mmm")</f>
        <v>Feb</v>
      </c>
      <c r="K57">
        <f>MONTH(Data[[#This Row],[Date]])</f>
        <v>2</v>
      </c>
      <c r="L57">
        <f>IF(Data[[#This Row],[Category Type]]="Income",Data[[#This Row],[Amount]],0)</f>
        <v>0</v>
      </c>
      <c r="M57">
        <f>IF(Data[[#This Row],[Category Type]]="Expense",-Data[[#This Row],[Amount]],0)</f>
        <v>205</v>
      </c>
    </row>
    <row r="58" spans="1:13" x14ac:dyDescent="0.25">
      <c r="A58" t="s">
        <v>9</v>
      </c>
      <c r="B58" s="1">
        <v>44235</v>
      </c>
      <c r="C58" t="s">
        <v>25</v>
      </c>
      <c r="D58">
        <v>51.1</v>
      </c>
      <c r="E58">
        <v>0</v>
      </c>
      <c r="F58">
        <v>-51.1</v>
      </c>
      <c r="G58" t="s">
        <v>26</v>
      </c>
      <c r="H58" t="s">
        <v>19</v>
      </c>
      <c r="I58" t="s">
        <v>16</v>
      </c>
      <c r="J58" t="str">
        <f>TEXT(Data[[#This Row],[Date]],"mmm")</f>
        <v>Feb</v>
      </c>
      <c r="K58">
        <f>MONTH(Data[[#This Row],[Date]])</f>
        <v>2</v>
      </c>
      <c r="L58">
        <f>IF(Data[[#This Row],[Category Type]]="Income",Data[[#This Row],[Amount]],0)</f>
        <v>0</v>
      </c>
      <c r="M58">
        <f>IF(Data[[#This Row],[Category Type]]="Expense",-Data[[#This Row],[Amount]],0)</f>
        <v>51.1</v>
      </c>
    </row>
    <row r="59" spans="1:13" x14ac:dyDescent="0.25">
      <c r="A59" t="s">
        <v>4</v>
      </c>
      <c r="B59" s="1">
        <v>44235</v>
      </c>
      <c r="C59" t="s">
        <v>13</v>
      </c>
      <c r="D59">
        <v>5</v>
      </c>
      <c r="E59">
        <v>0</v>
      </c>
      <c r="F59">
        <v>-5</v>
      </c>
      <c r="G59" t="s">
        <v>14</v>
      </c>
      <c r="H59" t="s">
        <v>15</v>
      </c>
      <c r="I59" t="s">
        <v>16</v>
      </c>
      <c r="J59" t="str">
        <f>TEXT(Data[[#This Row],[Date]],"mmm")</f>
        <v>Feb</v>
      </c>
      <c r="K59">
        <f>MONTH(Data[[#This Row],[Date]])</f>
        <v>2</v>
      </c>
      <c r="L59">
        <f>IF(Data[[#This Row],[Category Type]]="Income",Data[[#This Row],[Amount]],0)</f>
        <v>0</v>
      </c>
      <c r="M59">
        <f>IF(Data[[#This Row],[Category Type]]="Expense",-Data[[#This Row],[Amount]],0)</f>
        <v>5</v>
      </c>
    </row>
    <row r="60" spans="1:13" x14ac:dyDescent="0.25">
      <c r="A60" t="s">
        <v>4</v>
      </c>
      <c r="B60" s="1">
        <v>44236</v>
      </c>
      <c r="C60" t="s">
        <v>13</v>
      </c>
      <c r="D60">
        <v>5</v>
      </c>
      <c r="E60">
        <v>0</v>
      </c>
      <c r="F60">
        <v>-5</v>
      </c>
      <c r="G60" t="s">
        <v>14</v>
      </c>
      <c r="H60" t="s">
        <v>15</v>
      </c>
      <c r="I60" t="s">
        <v>16</v>
      </c>
      <c r="J60" t="str">
        <f>TEXT(Data[[#This Row],[Date]],"mmm")</f>
        <v>Feb</v>
      </c>
      <c r="K60">
        <f>MONTH(Data[[#This Row],[Date]])</f>
        <v>2</v>
      </c>
      <c r="L60">
        <f>IF(Data[[#This Row],[Category Type]]="Income",Data[[#This Row],[Amount]],0)</f>
        <v>0</v>
      </c>
      <c r="M60">
        <f>IF(Data[[#This Row],[Category Type]]="Expense",-Data[[#This Row],[Amount]],0)</f>
        <v>5</v>
      </c>
    </row>
    <row r="61" spans="1:13" x14ac:dyDescent="0.25">
      <c r="A61" t="s">
        <v>4</v>
      </c>
      <c r="B61" s="1">
        <v>44237</v>
      </c>
      <c r="C61" t="s">
        <v>27</v>
      </c>
      <c r="D61">
        <v>78</v>
      </c>
      <c r="E61">
        <v>0</v>
      </c>
      <c r="F61">
        <v>-78</v>
      </c>
      <c r="G61" t="s">
        <v>28</v>
      </c>
      <c r="H61" t="s">
        <v>22</v>
      </c>
      <c r="I61" t="s">
        <v>16</v>
      </c>
      <c r="J61" t="str">
        <f>TEXT(Data[[#This Row],[Date]],"mmm")</f>
        <v>Feb</v>
      </c>
      <c r="K61">
        <f>MONTH(Data[[#This Row],[Date]])</f>
        <v>2</v>
      </c>
      <c r="L61">
        <f>IF(Data[[#This Row],[Category Type]]="Income",Data[[#This Row],[Amount]],0)</f>
        <v>0</v>
      </c>
      <c r="M61">
        <f>IF(Data[[#This Row],[Category Type]]="Expense",-Data[[#This Row],[Amount]],0)</f>
        <v>78</v>
      </c>
    </row>
    <row r="62" spans="1:13" x14ac:dyDescent="0.25">
      <c r="A62" t="s">
        <v>4</v>
      </c>
      <c r="B62" s="1">
        <v>44237</v>
      </c>
      <c r="C62" t="s">
        <v>13</v>
      </c>
      <c r="D62">
        <v>5</v>
      </c>
      <c r="E62">
        <v>0</v>
      </c>
      <c r="F62">
        <v>-5</v>
      </c>
      <c r="G62" t="s">
        <v>14</v>
      </c>
      <c r="H62" t="s">
        <v>15</v>
      </c>
      <c r="I62" t="s">
        <v>16</v>
      </c>
      <c r="J62" t="str">
        <f>TEXT(Data[[#This Row],[Date]],"mmm")</f>
        <v>Feb</v>
      </c>
      <c r="K62">
        <f>MONTH(Data[[#This Row],[Date]])</f>
        <v>2</v>
      </c>
      <c r="L62">
        <f>IF(Data[[#This Row],[Category Type]]="Income",Data[[#This Row],[Amount]],0)</f>
        <v>0</v>
      </c>
      <c r="M62">
        <f>IF(Data[[#This Row],[Category Type]]="Expense",-Data[[#This Row],[Amount]],0)</f>
        <v>5</v>
      </c>
    </row>
    <row r="63" spans="1:13" x14ac:dyDescent="0.25">
      <c r="A63" t="s">
        <v>4</v>
      </c>
      <c r="B63" s="1">
        <v>44238</v>
      </c>
      <c r="C63" t="s">
        <v>13</v>
      </c>
      <c r="D63">
        <v>5</v>
      </c>
      <c r="E63">
        <v>0</v>
      </c>
      <c r="F63">
        <v>-5</v>
      </c>
      <c r="G63" t="s">
        <v>14</v>
      </c>
      <c r="H63" t="s">
        <v>15</v>
      </c>
      <c r="I63" t="s">
        <v>16</v>
      </c>
      <c r="J63" t="str">
        <f>TEXT(Data[[#This Row],[Date]],"mmm")</f>
        <v>Feb</v>
      </c>
      <c r="K63">
        <f>MONTH(Data[[#This Row],[Date]])</f>
        <v>2</v>
      </c>
      <c r="L63">
        <f>IF(Data[[#This Row],[Category Type]]="Income",Data[[#This Row],[Amount]],0)</f>
        <v>0</v>
      </c>
      <c r="M63">
        <f>IF(Data[[#This Row],[Category Type]]="Expense",-Data[[#This Row],[Amount]],0)</f>
        <v>5</v>
      </c>
    </row>
    <row r="64" spans="1:13" x14ac:dyDescent="0.25">
      <c r="A64" t="s">
        <v>4</v>
      </c>
      <c r="B64" s="1">
        <v>44239</v>
      </c>
      <c r="C64" t="s">
        <v>23</v>
      </c>
      <c r="D64">
        <v>135.9</v>
      </c>
      <c r="E64">
        <v>0</v>
      </c>
      <c r="F64">
        <v>-135.9</v>
      </c>
      <c r="G64" t="s">
        <v>24</v>
      </c>
      <c r="H64" t="s">
        <v>19</v>
      </c>
      <c r="I64" t="s">
        <v>16</v>
      </c>
      <c r="J64" t="str">
        <f>TEXT(Data[[#This Row],[Date]],"mmm")</f>
        <v>Feb</v>
      </c>
      <c r="K64">
        <f>MONTH(Data[[#This Row],[Date]])</f>
        <v>2</v>
      </c>
      <c r="L64">
        <f>IF(Data[[#This Row],[Category Type]]="Income",Data[[#This Row],[Amount]],0)</f>
        <v>0</v>
      </c>
      <c r="M64">
        <f>IF(Data[[#This Row],[Category Type]]="Expense",-Data[[#This Row],[Amount]],0)</f>
        <v>135.9</v>
      </c>
    </row>
    <row r="65" spans="1:13" x14ac:dyDescent="0.25">
      <c r="A65" t="s">
        <v>4</v>
      </c>
      <c r="B65" s="1">
        <v>44239</v>
      </c>
      <c r="C65" t="s">
        <v>13</v>
      </c>
      <c r="D65">
        <v>5</v>
      </c>
      <c r="E65">
        <v>0</v>
      </c>
      <c r="F65">
        <v>-5</v>
      </c>
      <c r="G65" t="s">
        <v>14</v>
      </c>
      <c r="H65" t="s">
        <v>15</v>
      </c>
      <c r="I65" t="s">
        <v>16</v>
      </c>
      <c r="J65" t="str">
        <f>TEXT(Data[[#This Row],[Date]],"mmm")</f>
        <v>Feb</v>
      </c>
      <c r="K65">
        <f>MONTH(Data[[#This Row],[Date]])</f>
        <v>2</v>
      </c>
      <c r="L65">
        <f>IF(Data[[#This Row],[Category Type]]="Income",Data[[#This Row],[Amount]],0)</f>
        <v>0</v>
      </c>
      <c r="M65">
        <f>IF(Data[[#This Row],[Category Type]]="Expense",-Data[[#This Row],[Amount]],0)</f>
        <v>5</v>
      </c>
    </row>
    <row r="66" spans="1:13" x14ac:dyDescent="0.25">
      <c r="A66" t="s">
        <v>4</v>
      </c>
      <c r="B66" s="1">
        <v>44240</v>
      </c>
      <c r="C66" t="s">
        <v>13</v>
      </c>
      <c r="D66">
        <v>5</v>
      </c>
      <c r="E66">
        <v>0</v>
      </c>
      <c r="F66">
        <v>-5</v>
      </c>
      <c r="G66" t="s">
        <v>14</v>
      </c>
      <c r="H66" t="s">
        <v>15</v>
      </c>
      <c r="I66" t="s">
        <v>16</v>
      </c>
      <c r="J66" t="str">
        <f>TEXT(Data[[#This Row],[Date]],"mmm")</f>
        <v>Feb</v>
      </c>
      <c r="K66">
        <f>MONTH(Data[[#This Row],[Date]])</f>
        <v>2</v>
      </c>
      <c r="L66">
        <f>IF(Data[[#This Row],[Category Type]]="Income",Data[[#This Row],[Amount]],0)</f>
        <v>0</v>
      </c>
      <c r="M66">
        <f>IF(Data[[#This Row],[Category Type]]="Expense",-Data[[#This Row],[Amount]],0)</f>
        <v>5</v>
      </c>
    </row>
    <row r="67" spans="1:13" x14ac:dyDescent="0.25">
      <c r="A67" t="s">
        <v>4</v>
      </c>
      <c r="B67" s="1">
        <v>44240</v>
      </c>
      <c r="C67" t="s">
        <v>29</v>
      </c>
      <c r="D67">
        <v>40.9</v>
      </c>
      <c r="E67">
        <v>0</v>
      </c>
      <c r="F67">
        <v>-40.9</v>
      </c>
      <c r="G67" t="s">
        <v>21</v>
      </c>
      <c r="H67" t="s">
        <v>30</v>
      </c>
      <c r="I67" t="s">
        <v>16</v>
      </c>
      <c r="J67" t="str">
        <f>TEXT(Data[[#This Row],[Date]],"mmm")</f>
        <v>Feb</v>
      </c>
      <c r="K67">
        <f>MONTH(Data[[#This Row],[Date]])</f>
        <v>2</v>
      </c>
      <c r="L67">
        <f>IF(Data[[#This Row],[Category Type]]="Income",Data[[#This Row],[Amount]],0)</f>
        <v>0</v>
      </c>
      <c r="M67">
        <f>IF(Data[[#This Row],[Category Type]]="Expense",-Data[[#This Row],[Amount]],0)</f>
        <v>40.9</v>
      </c>
    </row>
    <row r="68" spans="1:13" x14ac:dyDescent="0.25">
      <c r="A68" t="s">
        <v>4</v>
      </c>
      <c r="B68" s="1">
        <v>44240</v>
      </c>
      <c r="C68" t="s">
        <v>31</v>
      </c>
      <c r="D68">
        <v>99</v>
      </c>
      <c r="E68">
        <v>0</v>
      </c>
      <c r="F68">
        <v>-99</v>
      </c>
      <c r="G68" t="s">
        <v>32</v>
      </c>
      <c r="H68" t="s">
        <v>30</v>
      </c>
      <c r="I68" t="s">
        <v>16</v>
      </c>
      <c r="J68" t="str">
        <f>TEXT(Data[[#This Row],[Date]],"mmm")</f>
        <v>Feb</v>
      </c>
      <c r="K68">
        <f>MONTH(Data[[#This Row],[Date]])</f>
        <v>2</v>
      </c>
      <c r="L68">
        <f>IF(Data[[#This Row],[Category Type]]="Income",Data[[#This Row],[Amount]],0)</f>
        <v>0</v>
      </c>
      <c r="M68">
        <f>IF(Data[[#This Row],[Category Type]]="Expense",-Data[[#This Row],[Amount]],0)</f>
        <v>99</v>
      </c>
    </row>
    <row r="69" spans="1:13" x14ac:dyDescent="0.25">
      <c r="A69" t="s">
        <v>4</v>
      </c>
      <c r="B69" s="1">
        <v>44240</v>
      </c>
      <c r="C69" t="s">
        <v>33</v>
      </c>
      <c r="D69">
        <v>53</v>
      </c>
      <c r="E69">
        <v>0</v>
      </c>
      <c r="F69">
        <v>-53</v>
      </c>
      <c r="G69" t="s">
        <v>34</v>
      </c>
      <c r="H69" t="s">
        <v>15</v>
      </c>
      <c r="I69" t="s">
        <v>16</v>
      </c>
      <c r="J69" t="str">
        <f>TEXT(Data[[#This Row],[Date]],"mmm")</f>
        <v>Feb</v>
      </c>
      <c r="K69">
        <f>MONTH(Data[[#This Row],[Date]])</f>
        <v>2</v>
      </c>
      <c r="L69">
        <f>IF(Data[[#This Row],[Category Type]]="Income",Data[[#This Row],[Amount]],0)</f>
        <v>0</v>
      </c>
      <c r="M69">
        <f>IF(Data[[#This Row],[Category Type]]="Expense",-Data[[#This Row],[Amount]],0)</f>
        <v>53</v>
      </c>
    </row>
    <row r="70" spans="1:13" x14ac:dyDescent="0.25">
      <c r="A70" t="s">
        <v>4</v>
      </c>
      <c r="B70" s="1">
        <v>44241</v>
      </c>
      <c r="C70" t="s">
        <v>35</v>
      </c>
      <c r="D70">
        <v>28.9</v>
      </c>
      <c r="E70">
        <v>0</v>
      </c>
      <c r="F70">
        <v>-28.9</v>
      </c>
      <c r="G70" t="s">
        <v>36</v>
      </c>
      <c r="H70" t="s">
        <v>22</v>
      </c>
      <c r="I70" t="s">
        <v>16</v>
      </c>
      <c r="J70" t="str">
        <f>TEXT(Data[[#This Row],[Date]],"mmm")</f>
        <v>Feb</v>
      </c>
      <c r="K70">
        <f>MONTH(Data[[#This Row],[Date]])</f>
        <v>2</v>
      </c>
      <c r="L70">
        <f>IF(Data[[#This Row],[Category Type]]="Income",Data[[#This Row],[Amount]],0)</f>
        <v>0</v>
      </c>
      <c r="M70">
        <f>IF(Data[[#This Row],[Category Type]]="Expense",-Data[[#This Row],[Amount]],0)</f>
        <v>28.9</v>
      </c>
    </row>
    <row r="71" spans="1:13" x14ac:dyDescent="0.25">
      <c r="A71" t="s">
        <v>9</v>
      </c>
      <c r="B71" s="1">
        <v>44242</v>
      </c>
      <c r="C71" t="s">
        <v>37</v>
      </c>
      <c r="D71">
        <v>30</v>
      </c>
      <c r="E71">
        <v>0</v>
      </c>
      <c r="F71">
        <v>-30</v>
      </c>
      <c r="G71" t="s">
        <v>38</v>
      </c>
      <c r="H71" t="s">
        <v>30</v>
      </c>
      <c r="I71" t="s">
        <v>16</v>
      </c>
      <c r="J71" t="str">
        <f>TEXT(Data[[#This Row],[Date]],"mmm")</f>
        <v>Feb</v>
      </c>
      <c r="K71">
        <f>MONTH(Data[[#This Row],[Date]])</f>
        <v>2</v>
      </c>
      <c r="L71">
        <f>IF(Data[[#This Row],[Category Type]]="Income",Data[[#This Row],[Amount]],0)</f>
        <v>0</v>
      </c>
      <c r="M71">
        <f>IF(Data[[#This Row],[Category Type]]="Expense",-Data[[#This Row],[Amount]],0)</f>
        <v>30</v>
      </c>
    </row>
    <row r="72" spans="1:13" x14ac:dyDescent="0.25">
      <c r="A72" t="s">
        <v>4</v>
      </c>
      <c r="B72" s="1">
        <v>44242</v>
      </c>
      <c r="C72" t="s">
        <v>13</v>
      </c>
      <c r="D72">
        <v>5</v>
      </c>
      <c r="E72">
        <v>0</v>
      </c>
      <c r="F72">
        <v>-5</v>
      </c>
      <c r="G72" t="s">
        <v>14</v>
      </c>
      <c r="H72" t="s">
        <v>15</v>
      </c>
      <c r="I72" t="s">
        <v>16</v>
      </c>
      <c r="J72" t="str">
        <f>TEXT(Data[[#This Row],[Date]],"mmm")</f>
        <v>Feb</v>
      </c>
      <c r="K72">
        <f>MONTH(Data[[#This Row],[Date]])</f>
        <v>2</v>
      </c>
      <c r="L72">
        <f>IF(Data[[#This Row],[Category Type]]="Income",Data[[#This Row],[Amount]],0)</f>
        <v>0</v>
      </c>
      <c r="M72">
        <f>IF(Data[[#This Row],[Category Type]]="Expense",-Data[[#This Row],[Amount]],0)</f>
        <v>5</v>
      </c>
    </row>
    <row r="73" spans="1:13" x14ac:dyDescent="0.25">
      <c r="A73" t="s">
        <v>4</v>
      </c>
      <c r="B73" s="1">
        <v>44243</v>
      </c>
      <c r="C73" t="s">
        <v>13</v>
      </c>
      <c r="D73">
        <v>5</v>
      </c>
      <c r="E73">
        <v>0</v>
      </c>
      <c r="F73">
        <v>-5</v>
      </c>
      <c r="G73" t="s">
        <v>14</v>
      </c>
      <c r="H73" t="s">
        <v>15</v>
      </c>
      <c r="I73" t="s">
        <v>16</v>
      </c>
      <c r="J73" t="str">
        <f>TEXT(Data[[#This Row],[Date]],"mmm")</f>
        <v>Feb</v>
      </c>
      <c r="K73">
        <f>MONTH(Data[[#This Row],[Date]])</f>
        <v>2</v>
      </c>
      <c r="L73">
        <f>IF(Data[[#This Row],[Category Type]]="Income",Data[[#This Row],[Amount]],0)</f>
        <v>0</v>
      </c>
      <c r="M73">
        <f>IF(Data[[#This Row],[Category Type]]="Expense",-Data[[#This Row],[Amount]],0)</f>
        <v>5</v>
      </c>
    </row>
    <row r="74" spans="1:13" x14ac:dyDescent="0.25">
      <c r="A74" t="s">
        <v>9</v>
      </c>
      <c r="B74" s="1">
        <v>44243</v>
      </c>
      <c r="C74" t="s">
        <v>42</v>
      </c>
      <c r="D74">
        <v>40</v>
      </c>
      <c r="E74">
        <v>0</v>
      </c>
      <c r="F74">
        <v>-40</v>
      </c>
      <c r="G74" t="s">
        <v>43</v>
      </c>
      <c r="H74" t="s">
        <v>19</v>
      </c>
      <c r="I74" t="s">
        <v>16</v>
      </c>
      <c r="J74" t="str">
        <f>TEXT(Data[[#This Row],[Date]],"mmm")</f>
        <v>Feb</v>
      </c>
      <c r="K74">
        <f>MONTH(Data[[#This Row],[Date]])</f>
        <v>2</v>
      </c>
      <c r="L74">
        <f>IF(Data[[#This Row],[Category Type]]="Income",Data[[#This Row],[Amount]],0)</f>
        <v>0</v>
      </c>
      <c r="M74">
        <f>IF(Data[[#This Row],[Category Type]]="Expense",-Data[[#This Row],[Amount]],0)</f>
        <v>40</v>
      </c>
    </row>
    <row r="75" spans="1:13" x14ac:dyDescent="0.25">
      <c r="A75" t="s">
        <v>4</v>
      </c>
      <c r="B75" s="1">
        <v>44244</v>
      </c>
      <c r="C75" t="s">
        <v>44</v>
      </c>
      <c r="D75">
        <v>45.9</v>
      </c>
      <c r="E75">
        <v>0</v>
      </c>
      <c r="F75">
        <v>-45.9</v>
      </c>
      <c r="G75" t="s">
        <v>45</v>
      </c>
      <c r="H75" t="s">
        <v>30</v>
      </c>
      <c r="I75" t="s">
        <v>16</v>
      </c>
      <c r="J75" t="str">
        <f>TEXT(Data[[#This Row],[Date]],"mmm")</f>
        <v>Feb</v>
      </c>
      <c r="K75">
        <f>MONTH(Data[[#This Row],[Date]])</f>
        <v>2</v>
      </c>
      <c r="L75">
        <f>IF(Data[[#This Row],[Category Type]]="Income",Data[[#This Row],[Amount]],0)</f>
        <v>0</v>
      </c>
      <c r="M75">
        <f>IF(Data[[#This Row],[Category Type]]="Expense",-Data[[#This Row],[Amount]],0)</f>
        <v>45.9</v>
      </c>
    </row>
    <row r="76" spans="1:13" x14ac:dyDescent="0.25">
      <c r="A76" t="s">
        <v>4</v>
      </c>
      <c r="B76" s="1">
        <v>44244</v>
      </c>
      <c r="C76" t="s">
        <v>46</v>
      </c>
      <c r="D76">
        <v>35</v>
      </c>
      <c r="E76">
        <v>0</v>
      </c>
      <c r="F76">
        <v>-35</v>
      </c>
      <c r="G76" t="s">
        <v>21</v>
      </c>
      <c r="H76" t="s">
        <v>30</v>
      </c>
      <c r="I76" t="s">
        <v>16</v>
      </c>
      <c r="J76" t="str">
        <f>TEXT(Data[[#This Row],[Date]],"mmm")</f>
        <v>Feb</v>
      </c>
      <c r="K76">
        <f>MONTH(Data[[#This Row],[Date]])</f>
        <v>2</v>
      </c>
      <c r="L76">
        <f>IF(Data[[#This Row],[Category Type]]="Income",Data[[#This Row],[Amount]],0)</f>
        <v>0</v>
      </c>
      <c r="M76">
        <f>IF(Data[[#This Row],[Category Type]]="Expense",-Data[[#This Row],[Amount]],0)</f>
        <v>35</v>
      </c>
    </row>
    <row r="77" spans="1:13" x14ac:dyDescent="0.25">
      <c r="A77" t="s">
        <v>4</v>
      </c>
      <c r="B77" s="1">
        <v>44244</v>
      </c>
      <c r="C77" t="s">
        <v>13</v>
      </c>
      <c r="D77">
        <v>5</v>
      </c>
      <c r="E77">
        <v>0</v>
      </c>
      <c r="F77">
        <v>-5</v>
      </c>
      <c r="G77" t="s">
        <v>14</v>
      </c>
      <c r="H77" t="s">
        <v>15</v>
      </c>
      <c r="I77" t="s">
        <v>16</v>
      </c>
      <c r="J77" t="str">
        <f>TEXT(Data[[#This Row],[Date]],"mmm")</f>
        <v>Feb</v>
      </c>
      <c r="K77">
        <f>MONTH(Data[[#This Row],[Date]])</f>
        <v>2</v>
      </c>
      <c r="L77">
        <f>IF(Data[[#This Row],[Category Type]]="Income",Data[[#This Row],[Amount]],0)</f>
        <v>0</v>
      </c>
      <c r="M77">
        <f>IF(Data[[#This Row],[Category Type]]="Expense",-Data[[#This Row],[Amount]],0)</f>
        <v>5</v>
      </c>
    </row>
    <row r="78" spans="1:13" x14ac:dyDescent="0.25">
      <c r="A78" t="s">
        <v>4</v>
      </c>
      <c r="B78" s="1">
        <v>44245</v>
      </c>
      <c r="C78" t="s">
        <v>13</v>
      </c>
      <c r="D78">
        <v>5</v>
      </c>
      <c r="E78">
        <v>0</v>
      </c>
      <c r="F78">
        <v>-5</v>
      </c>
      <c r="G78" t="s">
        <v>14</v>
      </c>
      <c r="H78" t="s">
        <v>15</v>
      </c>
      <c r="I78" t="s">
        <v>16</v>
      </c>
      <c r="J78" t="str">
        <f>TEXT(Data[[#This Row],[Date]],"mmm")</f>
        <v>Feb</v>
      </c>
      <c r="K78">
        <f>MONTH(Data[[#This Row],[Date]])</f>
        <v>2</v>
      </c>
      <c r="L78">
        <f>IF(Data[[#This Row],[Category Type]]="Income",Data[[#This Row],[Amount]],0)</f>
        <v>0</v>
      </c>
      <c r="M78">
        <f>IF(Data[[#This Row],[Category Type]]="Expense",-Data[[#This Row],[Amount]],0)</f>
        <v>5</v>
      </c>
    </row>
    <row r="79" spans="1:13" x14ac:dyDescent="0.25">
      <c r="A79" t="s">
        <v>4</v>
      </c>
      <c r="B79" s="1">
        <v>44246</v>
      </c>
      <c r="C79" t="s">
        <v>13</v>
      </c>
      <c r="D79">
        <v>5</v>
      </c>
      <c r="E79">
        <v>0</v>
      </c>
      <c r="F79">
        <v>-5</v>
      </c>
      <c r="G79" t="s">
        <v>14</v>
      </c>
      <c r="H79" t="s">
        <v>15</v>
      </c>
      <c r="I79" t="s">
        <v>16</v>
      </c>
      <c r="J79" t="str">
        <f>TEXT(Data[[#This Row],[Date]],"mmm")</f>
        <v>Feb</v>
      </c>
      <c r="K79">
        <f>MONTH(Data[[#This Row],[Date]])</f>
        <v>2</v>
      </c>
      <c r="L79">
        <f>IF(Data[[#This Row],[Category Type]]="Income",Data[[#This Row],[Amount]],0)</f>
        <v>0</v>
      </c>
      <c r="M79">
        <f>IF(Data[[#This Row],[Category Type]]="Expense",-Data[[#This Row],[Amount]],0)</f>
        <v>5</v>
      </c>
    </row>
    <row r="80" spans="1:13" x14ac:dyDescent="0.25">
      <c r="A80" t="s">
        <v>4</v>
      </c>
      <c r="B80" s="1">
        <v>44246</v>
      </c>
      <c r="C80" t="s">
        <v>23</v>
      </c>
      <c r="D80">
        <v>171</v>
      </c>
      <c r="E80">
        <v>0</v>
      </c>
      <c r="F80">
        <v>-171</v>
      </c>
      <c r="G80" t="s">
        <v>24</v>
      </c>
      <c r="H80" t="s">
        <v>19</v>
      </c>
      <c r="I80" t="s">
        <v>16</v>
      </c>
      <c r="J80" t="str">
        <f>TEXT(Data[[#This Row],[Date]],"mmm")</f>
        <v>Feb</v>
      </c>
      <c r="K80">
        <f>MONTH(Data[[#This Row],[Date]])</f>
        <v>2</v>
      </c>
      <c r="L80">
        <f>IF(Data[[#This Row],[Category Type]]="Income",Data[[#This Row],[Amount]],0)</f>
        <v>0</v>
      </c>
      <c r="M80">
        <f>IF(Data[[#This Row],[Category Type]]="Expense",-Data[[#This Row],[Amount]],0)</f>
        <v>171</v>
      </c>
    </row>
    <row r="81" spans="1:13" x14ac:dyDescent="0.25">
      <c r="A81" t="s">
        <v>4</v>
      </c>
      <c r="B81" s="1">
        <v>44247</v>
      </c>
      <c r="C81" t="s">
        <v>47</v>
      </c>
      <c r="D81">
        <v>37.9</v>
      </c>
      <c r="E81">
        <v>0</v>
      </c>
      <c r="F81">
        <v>-37.9</v>
      </c>
      <c r="G81" t="s">
        <v>34</v>
      </c>
      <c r="H81" t="s">
        <v>15</v>
      </c>
      <c r="I81" t="s">
        <v>16</v>
      </c>
      <c r="J81" t="str">
        <f>TEXT(Data[[#This Row],[Date]],"mmm")</f>
        <v>Feb</v>
      </c>
      <c r="K81">
        <f>MONTH(Data[[#This Row],[Date]])</f>
        <v>2</v>
      </c>
      <c r="L81">
        <f>IF(Data[[#This Row],[Category Type]]="Income",Data[[#This Row],[Amount]],0)</f>
        <v>0</v>
      </c>
      <c r="M81">
        <f>IF(Data[[#This Row],[Category Type]]="Expense",-Data[[#This Row],[Amount]],0)</f>
        <v>37.9</v>
      </c>
    </row>
    <row r="82" spans="1:13" x14ac:dyDescent="0.25">
      <c r="A82" t="s">
        <v>4</v>
      </c>
      <c r="B82" s="1">
        <v>44248</v>
      </c>
      <c r="C82" t="s">
        <v>48</v>
      </c>
      <c r="D82">
        <v>12.9</v>
      </c>
      <c r="E82">
        <v>0</v>
      </c>
      <c r="F82">
        <v>-12.9</v>
      </c>
      <c r="G82" t="s">
        <v>34</v>
      </c>
      <c r="H82" t="s">
        <v>15</v>
      </c>
      <c r="I82" t="s">
        <v>16</v>
      </c>
      <c r="J82" t="str">
        <f>TEXT(Data[[#This Row],[Date]],"mmm")</f>
        <v>Feb</v>
      </c>
      <c r="K82">
        <f>MONTH(Data[[#This Row],[Date]])</f>
        <v>2</v>
      </c>
      <c r="L82">
        <f>IF(Data[[#This Row],[Category Type]]="Income",Data[[#This Row],[Amount]],0)</f>
        <v>0</v>
      </c>
      <c r="M82">
        <f>IF(Data[[#This Row],[Category Type]]="Expense",-Data[[#This Row],[Amount]],0)</f>
        <v>12.9</v>
      </c>
    </row>
    <row r="83" spans="1:13" x14ac:dyDescent="0.25">
      <c r="A83" t="s">
        <v>9</v>
      </c>
      <c r="B83" s="1">
        <v>44249</v>
      </c>
      <c r="C83" t="s">
        <v>49</v>
      </c>
      <c r="D83">
        <v>55</v>
      </c>
      <c r="E83">
        <v>0</v>
      </c>
      <c r="F83">
        <v>-55</v>
      </c>
      <c r="G83" t="s">
        <v>50</v>
      </c>
      <c r="H83" t="s">
        <v>51</v>
      </c>
      <c r="I83" t="s">
        <v>16</v>
      </c>
      <c r="J83" t="str">
        <f>TEXT(Data[[#This Row],[Date]],"mmm")</f>
        <v>Feb</v>
      </c>
      <c r="K83">
        <f>MONTH(Data[[#This Row],[Date]])</f>
        <v>2</v>
      </c>
      <c r="L83">
        <f>IF(Data[[#This Row],[Category Type]]="Income",Data[[#This Row],[Amount]],0)</f>
        <v>0</v>
      </c>
      <c r="M83">
        <f>IF(Data[[#This Row],[Category Type]]="Expense",-Data[[#This Row],[Amount]],0)</f>
        <v>55</v>
      </c>
    </row>
    <row r="84" spans="1:13" x14ac:dyDescent="0.25">
      <c r="A84" t="s">
        <v>4</v>
      </c>
      <c r="B84" s="1">
        <v>44249</v>
      </c>
      <c r="C84" t="s">
        <v>27</v>
      </c>
      <c r="D84">
        <v>64.099999999999994</v>
      </c>
      <c r="E84">
        <v>0</v>
      </c>
      <c r="F84">
        <v>-64.099999999999994</v>
      </c>
      <c r="G84" t="s">
        <v>28</v>
      </c>
      <c r="H84" t="s">
        <v>22</v>
      </c>
      <c r="I84" t="s">
        <v>16</v>
      </c>
      <c r="J84" t="str">
        <f>TEXT(Data[[#This Row],[Date]],"mmm")</f>
        <v>Feb</v>
      </c>
      <c r="K84">
        <f>MONTH(Data[[#This Row],[Date]])</f>
        <v>2</v>
      </c>
      <c r="L84">
        <f>IF(Data[[#This Row],[Category Type]]="Income",Data[[#This Row],[Amount]],0)</f>
        <v>0</v>
      </c>
      <c r="M84">
        <f>IF(Data[[#This Row],[Category Type]]="Expense",-Data[[#This Row],[Amount]],0)</f>
        <v>64.099999999999994</v>
      </c>
    </row>
    <row r="85" spans="1:13" x14ac:dyDescent="0.25">
      <c r="A85" t="s">
        <v>4</v>
      </c>
      <c r="B85" s="1">
        <v>44249</v>
      </c>
      <c r="C85" t="s">
        <v>13</v>
      </c>
      <c r="D85">
        <v>5</v>
      </c>
      <c r="E85">
        <v>0</v>
      </c>
      <c r="F85">
        <v>-5</v>
      </c>
      <c r="G85" t="s">
        <v>14</v>
      </c>
      <c r="H85" t="s">
        <v>15</v>
      </c>
      <c r="I85" t="s">
        <v>16</v>
      </c>
      <c r="J85" t="str">
        <f>TEXT(Data[[#This Row],[Date]],"mmm")</f>
        <v>Feb</v>
      </c>
      <c r="K85">
        <f>MONTH(Data[[#This Row],[Date]])</f>
        <v>2</v>
      </c>
      <c r="L85">
        <f>IF(Data[[#This Row],[Category Type]]="Income",Data[[#This Row],[Amount]],0)</f>
        <v>0</v>
      </c>
      <c r="M85">
        <f>IF(Data[[#This Row],[Category Type]]="Expense",-Data[[#This Row],[Amount]],0)</f>
        <v>5</v>
      </c>
    </row>
    <row r="86" spans="1:13" x14ac:dyDescent="0.25">
      <c r="A86" t="s">
        <v>4</v>
      </c>
      <c r="B86" s="1">
        <v>44250</v>
      </c>
      <c r="C86" t="s">
        <v>13</v>
      </c>
      <c r="D86">
        <v>5</v>
      </c>
      <c r="E86">
        <v>0</v>
      </c>
      <c r="F86">
        <v>-5</v>
      </c>
      <c r="G86" t="s">
        <v>14</v>
      </c>
      <c r="H86" t="s">
        <v>15</v>
      </c>
      <c r="I86" t="s">
        <v>16</v>
      </c>
      <c r="J86" t="str">
        <f>TEXT(Data[[#This Row],[Date]],"mmm")</f>
        <v>Feb</v>
      </c>
      <c r="K86">
        <f>MONTH(Data[[#This Row],[Date]])</f>
        <v>2</v>
      </c>
      <c r="L86">
        <f>IF(Data[[#This Row],[Category Type]]="Income",Data[[#This Row],[Amount]],0)</f>
        <v>0</v>
      </c>
      <c r="M86">
        <f>IF(Data[[#This Row],[Category Type]]="Expense",-Data[[#This Row],[Amount]],0)</f>
        <v>5</v>
      </c>
    </row>
    <row r="87" spans="1:13" x14ac:dyDescent="0.25">
      <c r="A87" t="s">
        <v>4</v>
      </c>
      <c r="B87" s="1">
        <v>44251</v>
      </c>
      <c r="C87" t="s">
        <v>13</v>
      </c>
      <c r="D87">
        <v>5</v>
      </c>
      <c r="E87">
        <v>0</v>
      </c>
      <c r="F87">
        <v>-5</v>
      </c>
      <c r="G87" t="s">
        <v>14</v>
      </c>
      <c r="H87" t="s">
        <v>15</v>
      </c>
      <c r="I87" t="s">
        <v>16</v>
      </c>
      <c r="J87" t="str">
        <f>TEXT(Data[[#This Row],[Date]],"mmm")</f>
        <v>Feb</v>
      </c>
      <c r="K87">
        <f>MONTH(Data[[#This Row],[Date]])</f>
        <v>2</v>
      </c>
      <c r="L87">
        <f>IF(Data[[#This Row],[Category Type]]="Income",Data[[#This Row],[Amount]],0)</f>
        <v>0</v>
      </c>
      <c r="M87">
        <f>IF(Data[[#This Row],[Category Type]]="Expense",-Data[[#This Row],[Amount]],0)</f>
        <v>5</v>
      </c>
    </row>
    <row r="88" spans="1:13" x14ac:dyDescent="0.25">
      <c r="A88" t="s">
        <v>4</v>
      </c>
      <c r="B88" s="1">
        <v>44252</v>
      </c>
      <c r="C88" t="s">
        <v>13</v>
      </c>
      <c r="D88">
        <v>5</v>
      </c>
      <c r="E88">
        <v>0</v>
      </c>
      <c r="F88">
        <v>-5</v>
      </c>
      <c r="G88" t="s">
        <v>14</v>
      </c>
      <c r="H88" t="s">
        <v>15</v>
      </c>
      <c r="I88" t="s">
        <v>16</v>
      </c>
      <c r="J88" t="str">
        <f>TEXT(Data[[#This Row],[Date]],"mmm")</f>
        <v>Feb</v>
      </c>
      <c r="K88">
        <f>MONTH(Data[[#This Row],[Date]])</f>
        <v>2</v>
      </c>
      <c r="L88">
        <f>IF(Data[[#This Row],[Category Type]]="Income",Data[[#This Row],[Amount]],0)</f>
        <v>0</v>
      </c>
      <c r="M88">
        <f>IF(Data[[#This Row],[Category Type]]="Expense",-Data[[#This Row],[Amount]],0)</f>
        <v>5</v>
      </c>
    </row>
    <row r="89" spans="1:13" x14ac:dyDescent="0.25">
      <c r="A89" t="s">
        <v>4</v>
      </c>
      <c r="B89" s="1">
        <v>44253</v>
      </c>
      <c r="C89" t="s">
        <v>13</v>
      </c>
      <c r="D89">
        <v>5</v>
      </c>
      <c r="E89">
        <v>0</v>
      </c>
      <c r="F89">
        <v>-5</v>
      </c>
      <c r="G89" t="s">
        <v>14</v>
      </c>
      <c r="H89" t="s">
        <v>15</v>
      </c>
      <c r="I89" t="s">
        <v>16</v>
      </c>
      <c r="J89" t="str">
        <f>TEXT(Data[[#This Row],[Date]],"mmm")</f>
        <v>Feb</v>
      </c>
      <c r="K89">
        <f>MONTH(Data[[#This Row],[Date]])</f>
        <v>2</v>
      </c>
      <c r="L89">
        <f>IF(Data[[#This Row],[Category Type]]="Income",Data[[#This Row],[Amount]],0)</f>
        <v>0</v>
      </c>
      <c r="M89">
        <f>IF(Data[[#This Row],[Category Type]]="Expense",-Data[[#This Row],[Amount]],0)</f>
        <v>5</v>
      </c>
    </row>
    <row r="90" spans="1:13" x14ac:dyDescent="0.25">
      <c r="A90" t="s">
        <v>4</v>
      </c>
      <c r="B90" s="1">
        <v>44253</v>
      </c>
      <c r="C90" t="s">
        <v>23</v>
      </c>
      <c r="D90">
        <v>162.9</v>
      </c>
      <c r="E90">
        <v>0</v>
      </c>
      <c r="F90">
        <v>-162.9</v>
      </c>
      <c r="G90" t="s">
        <v>24</v>
      </c>
      <c r="H90" t="s">
        <v>19</v>
      </c>
      <c r="I90" t="s">
        <v>16</v>
      </c>
      <c r="J90" t="str">
        <f>TEXT(Data[[#This Row],[Date]],"mmm")</f>
        <v>Feb</v>
      </c>
      <c r="K90">
        <f>MONTH(Data[[#This Row],[Date]])</f>
        <v>2</v>
      </c>
      <c r="L90">
        <f>IF(Data[[#This Row],[Category Type]]="Income",Data[[#This Row],[Amount]],0)</f>
        <v>0</v>
      </c>
      <c r="M90">
        <f>IF(Data[[#This Row],[Category Type]]="Expense",-Data[[#This Row],[Amount]],0)</f>
        <v>162.9</v>
      </c>
    </row>
    <row r="91" spans="1:13" x14ac:dyDescent="0.25">
      <c r="A91" t="s">
        <v>4</v>
      </c>
      <c r="B91" s="1">
        <v>44254</v>
      </c>
      <c r="C91" t="s">
        <v>52</v>
      </c>
      <c r="D91">
        <v>125.9</v>
      </c>
      <c r="E91">
        <v>0</v>
      </c>
      <c r="F91">
        <v>-125.9</v>
      </c>
      <c r="G91" t="s">
        <v>32</v>
      </c>
      <c r="H91" t="s">
        <v>30</v>
      </c>
      <c r="I91" t="s">
        <v>16</v>
      </c>
      <c r="J91" t="str">
        <f>TEXT(Data[[#This Row],[Date]],"mmm")</f>
        <v>Feb</v>
      </c>
      <c r="K91">
        <f>MONTH(Data[[#This Row],[Date]])</f>
        <v>2</v>
      </c>
      <c r="L91">
        <f>IF(Data[[#This Row],[Category Type]]="Income",Data[[#This Row],[Amount]],0)</f>
        <v>0</v>
      </c>
      <c r="M91">
        <f>IF(Data[[#This Row],[Category Type]]="Expense",-Data[[#This Row],[Amount]],0)</f>
        <v>125.9</v>
      </c>
    </row>
    <row r="92" spans="1:13" x14ac:dyDescent="0.25">
      <c r="A92" t="s">
        <v>4</v>
      </c>
      <c r="B92" s="1">
        <v>44254</v>
      </c>
      <c r="C92" t="s">
        <v>54</v>
      </c>
      <c r="D92">
        <v>137</v>
      </c>
      <c r="E92">
        <v>0</v>
      </c>
      <c r="F92">
        <v>-137</v>
      </c>
      <c r="G92" t="s">
        <v>32</v>
      </c>
      <c r="H92" t="s">
        <v>30</v>
      </c>
      <c r="I92" t="s">
        <v>16</v>
      </c>
      <c r="J92" t="str">
        <f>TEXT(Data[[#This Row],[Date]],"mmm")</f>
        <v>Feb</v>
      </c>
      <c r="K92">
        <f>MONTH(Data[[#This Row],[Date]])</f>
        <v>2</v>
      </c>
      <c r="L92">
        <f>IF(Data[[#This Row],[Category Type]]="Income",Data[[#This Row],[Amount]],0)</f>
        <v>0</v>
      </c>
      <c r="M92">
        <f>IF(Data[[#This Row],[Category Type]]="Expense",-Data[[#This Row],[Amount]],0)</f>
        <v>137</v>
      </c>
    </row>
    <row r="93" spans="1:13" x14ac:dyDescent="0.25">
      <c r="A93" t="s">
        <v>4</v>
      </c>
      <c r="B93" s="1">
        <v>44255</v>
      </c>
      <c r="C93" t="s">
        <v>31</v>
      </c>
      <c r="D93">
        <v>146.1</v>
      </c>
      <c r="E93">
        <v>0</v>
      </c>
      <c r="F93">
        <v>-146.1</v>
      </c>
      <c r="G93" t="s">
        <v>32</v>
      </c>
      <c r="H93" t="s">
        <v>30</v>
      </c>
      <c r="I93" t="s">
        <v>16</v>
      </c>
      <c r="J93" t="str">
        <f>TEXT(Data[[#This Row],[Date]],"mmm")</f>
        <v>Feb</v>
      </c>
      <c r="K93">
        <f>MONTH(Data[[#This Row],[Date]])</f>
        <v>2</v>
      </c>
      <c r="L93">
        <f>IF(Data[[#This Row],[Category Type]]="Income",Data[[#This Row],[Amount]],0)</f>
        <v>0</v>
      </c>
      <c r="M93">
        <f>IF(Data[[#This Row],[Category Type]]="Expense",-Data[[#This Row],[Amount]],0)</f>
        <v>146.1</v>
      </c>
    </row>
    <row r="94" spans="1:13" x14ac:dyDescent="0.25">
      <c r="A94" t="s">
        <v>4</v>
      </c>
      <c r="B94" s="1">
        <v>44255</v>
      </c>
      <c r="C94" t="s">
        <v>35</v>
      </c>
      <c r="D94">
        <v>24.1</v>
      </c>
      <c r="E94">
        <v>0</v>
      </c>
      <c r="F94">
        <v>-24.1</v>
      </c>
      <c r="G94" t="s">
        <v>36</v>
      </c>
      <c r="H94" t="s">
        <v>22</v>
      </c>
      <c r="I94" t="s">
        <v>16</v>
      </c>
      <c r="J94" t="str">
        <f>TEXT(Data[[#This Row],[Date]],"mmm")</f>
        <v>Feb</v>
      </c>
      <c r="K94">
        <f>MONTH(Data[[#This Row],[Date]])</f>
        <v>2</v>
      </c>
      <c r="L94">
        <f>IF(Data[[#This Row],[Category Type]]="Income",Data[[#This Row],[Amount]],0)</f>
        <v>0</v>
      </c>
      <c r="M94">
        <f>IF(Data[[#This Row],[Category Type]]="Expense",-Data[[#This Row],[Amount]],0)</f>
        <v>24.1</v>
      </c>
    </row>
    <row r="95" spans="1:13" x14ac:dyDescent="0.25">
      <c r="A95" t="s">
        <v>9</v>
      </c>
      <c r="B95" s="1">
        <v>44256</v>
      </c>
      <c r="C95" t="s">
        <v>10</v>
      </c>
      <c r="D95">
        <v>0</v>
      </c>
      <c r="E95">
        <v>4000</v>
      </c>
      <c r="F95">
        <v>4000</v>
      </c>
      <c r="G95" t="s">
        <v>11</v>
      </c>
      <c r="H95" t="s">
        <v>11</v>
      </c>
      <c r="I95" t="s">
        <v>12</v>
      </c>
      <c r="J95" t="str">
        <f>TEXT(Data[[#This Row],[Date]],"mmm")</f>
        <v>Mar</v>
      </c>
      <c r="K95">
        <f>MONTH(Data[[#This Row],[Date]])</f>
        <v>3</v>
      </c>
      <c r="L95">
        <f>IF(Data[[#This Row],[Category Type]]="Income",Data[[#This Row],[Amount]],0)</f>
        <v>4000</v>
      </c>
      <c r="M95">
        <f>IF(Data[[#This Row],[Category Type]]="Expense",-Data[[#This Row],[Amount]],0)</f>
        <v>0</v>
      </c>
    </row>
    <row r="96" spans="1:13" x14ac:dyDescent="0.25">
      <c r="A96" t="s">
        <v>4</v>
      </c>
      <c r="B96" s="1">
        <v>44256</v>
      </c>
      <c r="C96" t="s">
        <v>13</v>
      </c>
      <c r="D96">
        <v>5</v>
      </c>
      <c r="E96">
        <v>0</v>
      </c>
      <c r="F96">
        <v>-5</v>
      </c>
      <c r="G96" t="s">
        <v>14</v>
      </c>
      <c r="H96" t="s">
        <v>15</v>
      </c>
      <c r="I96" t="s">
        <v>16</v>
      </c>
      <c r="J96" t="str">
        <f>TEXT(Data[[#This Row],[Date]],"mmm")</f>
        <v>Mar</v>
      </c>
      <c r="K96">
        <f>MONTH(Data[[#This Row],[Date]])</f>
        <v>3</v>
      </c>
      <c r="L96">
        <f>IF(Data[[#This Row],[Category Type]]="Income",Data[[#This Row],[Amount]],0)</f>
        <v>0</v>
      </c>
      <c r="M96">
        <f>IF(Data[[#This Row],[Category Type]]="Expense",-Data[[#This Row],[Amount]],0)</f>
        <v>5</v>
      </c>
    </row>
    <row r="97" spans="1:13" x14ac:dyDescent="0.25">
      <c r="A97" t="s">
        <v>9</v>
      </c>
      <c r="B97" s="1">
        <v>44257</v>
      </c>
      <c r="C97" t="s">
        <v>17</v>
      </c>
      <c r="D97">
        <v>900</v>
      </c>
      <c r="E97">
        <v>0</v>
      </c>
      <c r="F97">
        <v>-900</v>
      </c>
      <c r="G97" t="s">
        <v>18</v>
      </c>
      <c r="H97" t="s">
        <v>19</v>
      </c>
      <c r="I97" t="s">
        <v>16</v>
      </c>
      <c r="J97" t="str">
        <f>TEXT(Data[[#This Row],[Date]],"mmm")</f>
        <v>Mar</v>
      </c>
      <c r="K97">
        <f>MONTH(Data[[#This Row],[Date]])</f>
        <v>3</v>
      </c>
      <c r="L97">
        <f>IF(Data[[#This Row],[Category Type]]="Income",Data[[#This Row],[Amount]],0)</f>
        <v>0</v>
      </c>
      <c r="M97">
        <f>IF(Data[[#This Row],[Category Type]]="Expense",-Data[[#This Row],[Amount]],0)</f>
        <v>900</v>
      </c>
    </row>
    <row r="98" spans="1:13" x14ac:dyDescent="0.25">
      <c r="A98" t="s">
        <v>9</v>
      </c>
      <c r="B98" s="1">
        <v>44257</v>
      </c>
      <c r="C98" t="s">
        <v>20</v>
      </c>
      <c r="D98">
        <v>150</v>
      </c>
      <c r="E98">
        <v>0</v>
      </c>
      <c r="F98">
        <v>-150</v>
      </c>
      <c r="G98" t="s">
        <v>21</v>
      </c>
      <c r="H98" t="s">
        <v>22</v>
      </c>
      <c r="I98" t="s">
        <v>16</v>
      </c>
      <c r="J98" t="str">
        <f>TEXT(Data[[#This Row],[Date]],"mmm")</f>
        <v>Mar</v>
      </c>
      <c r="K98">
        <f>MONTH(Data[[#This Row],[Date]])</f>
        <v>3</v>
      </c>
      <c r="L98">
        <f>IF(Data[[#This Row],[Category Type]]="Income",Data[[#This Row],[Amount]],0)</f>
        <v>0</v>
      </c>
      <c r="M98">
        <f>IF(Data[[#This Row],[Category Type]]="Expense",-Data[[#This Row],[Amount]],0)</f>
        <v>150</v>
      </c>
    </row>
    <row r="99" spans="1:13" x14ac:dyDescent="0.25">
      <c r="A99" t="s">
        <v>4</v>
      </c>
      <c r="B99" s="1">
        <v>44257</v>
      </c>
      <c r="C99" t="s">
        <v>13</v>
      </c>
      <c r="D99">
        <v>5</v>
      </c>
      <c r="E99">
        <v>0</v>
      </c>
      <c r="F99">
        <v>-5</v>
      </c>
      <c r="G99" t="s">
        <v>14</v>
      </c>
      <c r="H99" t="s">
        <v>15</v>
      </c>
      <c r="I99" t="s">
        <v>16</v>
      </c>
      <c r="J99" t="str">
        <f>TEXT(Data[[#This Row],[Date]],"mmm")</f>
        <v>Mar</v>
      </c>
      <c r="K99">
        <f>MONTH(Data[[#This Row],[Date]])</f>
        <v>3</v>
      </c>
      <c r="L99">
        <f>IF(Data[[#This Row],[Category Type]]="Income",Data[[#This Row],[Amount]],0)</f>
        <v>0</v>
      </c>
      <c r="M99">
        <f>IF(Data[[#This Row],[Category Type]]="Expense",-Data[[#This Row],[Amount]],0)</f>
        <v>5</v>
      </c>
    </row>
    <row r="100" spans="1:13" x14ac:dyDescent="0.25">
      <c r="A100" t="s">
        <v>4</v>
      </c>
      <c r="B100" s="1">
        <v>44258</v>
      </c>
      <c r="C100" t="s">
        <v>13</v>
      </c>
      <c r="D100">
        <v>5</v>
      </c>
      <c r="E100">
        <v>0</v>
      </c>
      <c r="F100">
        <v>-5</v>
      </c>
      <c r="G100" t="s">
        <v>14</v>
      </c>
      <c r="H100" t="s">
        <v>15</v>
      </c>
      <c r="I100" t="s">
        <v>16</v>
      </c>
      <c r="J100" t="str">
        <f>TEXT(Data[[#This Row],[Date]],"mmm")</f>
        <v>Mar</v>
      </c>
      <c r="K100">
        <f>MONTH(Data[[#This Row],[Date]])</f>
        <v>3</v>
      </c>
      <c r="L100">
        <f>IF(Data[[#This Row],[Category Type]]="Income",Data[[#This Row],[Amount]],0)</f>
        <v>0</v>
      </c>
      <c r="M100">
        <f>IF(Data[[#This Row],[Category Type]]="Expense",-Data[[#This Row],[Amount]],0)</f>
        <v>5</v>
      </c>
    </row>
    <row r="101" spans="1:13" x14ac:dyDescent="0.25">
      <c r="A101" t="s">
        <v>4</v>
      </c>
      <c r="B101" s="1">
        <v>44259</v>
      </c>
      <c r="C101" t="s">
        <v>13</v>
      </c>
      <c r="D101">
        <v>5</v>
      </c>
      <c r="E101">
        <v>0</v>
      </c>
      <c r="F101">
        <v>-5</v>
      </c>
      <c r="G101" t="s">
        <v>14</v>
      </c>
      <c r="H101" t="s">
        <v>15</v>
      </c>
      <c r="I101" t="s">
        <v>16</v>
      </c>
      <c r="J101" t="str">
        <f>TEXT(Data[[#This Row],[Date]],"mmm")</f>
        <v>Mar</v>
      </c>
      <c r="K101">
        <f>MONTH(Data[[#This Row],[Date]])</f>
        <v>3</v>
      </c>
      <c r="L101">
        <f>IF(Data[[#This Row],[Category Type]]="Income",Data[[#This Row],[Amount]],0)</f>
        <v>0</v>
      </c>
      <c r="M101">
        <f>IF(Data[[#This Row],[Category Type]]="Expense",-Data[[#This Row],[Amount]],0)</f>
        <v>5</v>
      </c>
    </row>
    <row r="102" spans="1:13" x14ac:dyDescent="0.25">
      <c r="A102" t="s">
        <v>4</v>
      </c>
      <c r="B102" s="1">
        <v>44260</v>
      </c>
      <c r="C102" t="s">
        <v>13</v>
      </c>
      <c r="D102">
        <v>5</v>
      </c>
      <c r="E102">
        <v>0</v>
      </c>
      <c r="F102">
        <v>-5</v>
      </c>
      <c r="G102" t="s">
        <v>14</v>
      </c>
      <c r="H102" t="s">
        <v>15</v>
      </c>
      <c r="I102" t="s">
        <v>16</v>
      </c>
      <c r="J102" t="str">
        <f>TEXT(Data[[#This Row],[Date]],"mmm")</f>
        <v>Mar</v>
      </c>
      <c r="K102">
        <f>MONTH(Data[[#This Row],[Date]])</f>
        <v>3</v>
      </c>
      <c r="L102">
        <f>IF(Data[[#This Row],[Category Type]]="Income",Data[[#This Row],[Amount]],0)</f>
        <v>0</v>
      </c>
      <c r="M102">
        <f>IF(Data[[#This Row],[Category Type]]="Expense",-Data[[#This Row],[Amount]],0)</f>
        <v>5</v>
      </c>
    </row>
    <row r="103" spans="1:13" x14ac:dyDescent="0.25">
      <c r="A103" t="s">
        <v>4</v>
      </c>
      <c r="B103" s="1">
        <v>44260</v>
      </c>
      <c r="C103" t="s">
        <v>23</v>
      </c>
      <c r="D103">
        <v>149</v>
      </c>
      <c r="E103">
        <v>0</v>
      </c>
      <c r="F103">
        <v>-149</v>
      </c>
      <c r="G103" t="s">
        <v>24</v>
      </c>
      <c r="H103" t="s">
        <v>19</v>
      </c>
      <c r="I103" t="s">
        <v>16</v>
      </c>
      <c r="J103" t="str">
        <f>TEXT(Data[[#This Row],[Date]],"mmm")</f>
        <v>Mar</v>
      </c>
      <c r="K103">
        <f>MONTH(Data[[#This Row],[Date]])</f>
        <v>3</v>
      </c>
      <c r="L103">
        <f>IF(Data[[#This Row],[Category Type]]="Income",Data[[#This Row],[Amount]],0)</f>
        <v>0</v>
      </c>
      <c r="M103">
        <f>IF(Data[[#This Row],[Category Type]]="Expense",-Data[[#This Row],[Amount]],0)</f>
        <v>149</v>
      </c>
    </row>
    <row r="104" spans="1:13" x14ac:dyDescent="0.25">
      <c r="A104" t="s">
        <v>9</v>
      </c>
      <c r="B104" s="1">
        <v>44263</v>
      </c>
      <c r="C104" t="s">
        <v>25</v>
      </c>
      <c r="D104">
        <v>52.1</v>
      </c>
      <c r="E104">
        <v>0</v>
      </c>
      <c r="F104">
        <v>-52.1</v>
      </c>
      <c r="G104" t="s">
        <v>26</v>
      </c>
      <c r="H104" t="s">
        <v>19</v>
      </c>
      <c r="I104" t="s">
        <v>16</v>
      </c>
      <c r="J104" t="str">
        <f>TEXT(Data[[#This Row],[Date]],"mmm")</f>
        <v>Mar</v>
      </c>
      <c r="K104">
        <f>MONTH(Data[[#This Row],[Date]])</f>
        <v>3</v>
      </c>
      <c r="L104">
        <f>IF(Data[[#This Row],[Category Type]]="Income",Data[[#This Row],[Amount]],0)</f>
        <v>0</v>
      </c>
      <c r="M104">
        <f>IF(Data[[#This Row],[Category Type]]="Expense",-Data[[#This Row],[Amount]],0)</f>
        <v>52.1</v>
      </c>
    </row>
    <row r="105" spans="1:13" x14ac:dyDescent="0.25">
      <c r="A105" t="s">
        <v>4</v>
      </c>
      <c r="B105" s="1">
        <v>44263</v>
      </c>
      <c r="C105" t="s">
        <v>13</v>
      </c>
      <c r="D105">
        <v>5</v>
      </c>
      <c r="E105">
        <v>0</v>
      </c>
      <c r="F105">
        <v>-5</v>
      </c>
      <c r="G105" t="s">
        <v>14</v>
      </c>
      <c r="H105" t="s">
        <v>15</v>
      </c>
      <c r="I105" t="s">
        <v>16</v>
      </c>
      <c r="J105" t="str">
        <f>TEXT(Data[[#This Row],[Date]],"mmm")</f>
        <v>Mar</v>
      </c>
      <c r="K105">
        <f>MONTH(Data[[#This Row],[Date]])</f>
        <v>3</v>
      </c>
      <c r="L105">
        <f>IF(Data[[#This Row],[Category Type]]="Income",Data[[#This Row],[Amount]],0)</f>
        <v>0</v>
      </c>
      <c r="M105">
        <f>IF(Data[[#This Row],[Category Type]]="Expense",-Data[[#This Row],[Amount]],0)</f>
        <v>5</v>
      </c>
    </row>
    <row r="106" spans="1:13" x14ac:dyDescent="0.25">
      <c r="A106" t="s">
        <v>4</v>
      </c>
      <c r="B106" s="1">
        <v>44264</v>
      </c>
      <c r="C106" t="s">
        <v>13</v>
      </c>
      <c r="D106">
        <v>5</v>
      </c>
      <c r="E106">
        <v>0</v>
      </c>
      <c r="F106">
        <v>-5</v>
      </c>
      <c r="G106" t="s">
        <v>14</v>
      </c>
      <c r="H106" t="s">
        <v>15</v>
      </c>
      <c r="I106" t="s">
        <v>16</v>
      </c>
      <c r="J106" t="str">
        <f>TEXT(Data[[#This Row],[Date]],"mmm")</f>
        <v>Mar</v>
      </c>
      <c r="K106">
        <f>MONTH(Data[[#This Row],[Date]])</f>
        <v>3</v>
      </c>
      <c r="L106">
        <f>IF(Data[[#This Row],[Category Type]]="Income",Data[[#This Row],[Amount]],0)</f>
        <v>0</v>
      </c>
      <c r="M106">
        <f>IF(Data[[#This Row],[Category Type]]="Expense",-Data[[#This Row],[Amount]],0)</f>
        <v>5</v>
      </c>
    </row>
    <row r="107" spans="1:13" x14ac:dyDescent="0.25">
      <c r="A107" t="s">
        <v>4</v>
      </c>
      <c r="B107" s="1">
        <v>44265</v>
      </c>
      <c r="C107" t="s">
        <v>27</v>
      </c>
      <c r="D107">
        <v>78.900000000000006</v>
      </c>
      <c r="E107">
        <v>0</v>
      </c>
      <c r="F107">
        <v>-78.900000000000006</v>
      </c>
      <c r="G107" t="s">
        <v>28</v>
      </c>
      <c r="H107" t="s">
        <v>22</v>
      </c>
      <c r="I107" t="s">
        <v>16</v>
      </c>
      <c r="J107" t="str">
        <f>TEXT(Data[[#This Row],[Date]],"mmm")</f>
        <v>Mar</v>
      </c>
      <c r="K107">
        <f>MONTH(Data[[#This Row],[Date]])</f>
        <v>3</v>
      </c>
      <c r="L107">
        <f>IF(Data[[#This Row],[Category Type]]="Income",Data[[#This Row],[Amount]],0)</f>
        <v>0</v>
      </c>
      <c r="M107">
        <f>IF(Data[[#This Row],[Category Type]]="Expense",-Data[[#This Row],[Amount]],0)</f>
        <v>78.900000000000006</v>
      </c>
    </row>
    <row r="108" spans="1:13" x14ac:dyDescent="0.25">
      <c r="A108" t="s">
        <v>4</v>
      </c>
      <c r="B108" s="1">
        <v>44265</v>
      </c>
      <c r="C108" t="s">
        <v>13</v>
      </c>
      <c r="D108">
        <v>5</v>
      </c>
      <c r="E108">
        <v>0</v>
      </c>
      <c r="F108">
        <v>-5</v>
      </c>
      <c r="G108" t="s">
        <v>14</v>
      </c>
      <c r="H108" t="s">
        <v>15</v>
      </c>
      <c r="I108" t="s">
        <v>16</v>
      </c>
      <c r="J108" t="str">
        <f>TEXT(Data[[#This Row],[Date]],"mmm")</f>
        <v>Mar</v>
      </c>
      <c r="K108">
        <f>MONTH(Data[[#This Row],[Date]])</f>
        <v>3</v>
      </c>
      <c r="L108">
        <f>IF(Data[[#This Row],[Category Type]]="Income",Data[[#This Row],[Amount]],0)</f>
        <v>0</v>
      </c>
      <c r="M108">
        <f>IF(Data[[#This Row],[Category Type]]="Expense",-Data[[#This Row],[Amount]],0)</f>
        <v>5</v>
      </c>
    </row>
    <row r="109" spans="1:13" x14ac:dyDescent="0.25">
      <c r="A109" t="s">
        <v>4</v>
      </c>
      <c r="B109" s="1">
        <v>44266</v>
      </c>
      <c r="C109" t="s">
        <v>13</v>
      </c>
      <c r="D109">
        <v>5</v>
      </c>
      <c r="E109">
        <v>0</v>
      </c>
      <c r="F109">
        <v>-5</v>
      </c>
      <c r="G109" t="s">
        <v>14</v>
      </c>
      <c r="H109" t="s">
        <v>15</v>
      </c>
      <c r="I109" t="s">
        <v>16</v>
      </c>
      <c r="J109" t="str">
        <f>TEXT(Data[[#This Row],[Date]],"mmm")</f>
        <v>Mar</v>
      </c>
      <c r="K109">
        <f>MONTH(Data[[#This Row],[Date]])</f>
        <v>3</v>
      </c>
      <c r="L109">
        <f>IF(Data[[#This Row],[Category Type]]="Income",Data[[#This Row],[Amount]],0)</f>
        <v>0</v>
      </c>
      <c r="M109">
        <f>IF(Data[[#This Row],[Category Type]]="Expense",-Data[[#This Row],[Amount]],0)</f>
        <v>5</v>
      </c>
    </row>
    <row r="110" spans="1:13" x14ac:dyDescent="0.25">
      <c r="A110" t="s">
        <v>4</v>
      </c>
      <c r="B110" s="1">
        <v>44267</v>
      </c>
      <c r="C110" t="s">
        <v>23</v>
      </c>
      <c r="D110">
        <v>137</v>
      </c>
      <c r="E110">
        <v>0</v>
      </c>
      <c r="F110">
        <v>-137</v>
      </c>
      <c r="G110" t="s">
        <v>24</v>
      </c>
      <c r="H110" t="s">
        <v>19</v>
      </c>
      <c r="I110" t="s">
        <v>16</v>
      </c>
      <c r="J110" t="str">
        <f>TEXT(Data[[#This Row],[Date]],"mmm")</f>
        <v>Mar</v>
      </c>
      <c r="K110">
        <f>MONTH(Data[[#This Row],[Date]])</f>
        <v>3</v>
      </c>
      <c r="L110">
        <f>IF(Data[[#This Row],[Category Type]]="Income",Data[[#This Row],[Amount]],0)</f>
        <v>0</v>
      </c>
      <c r="M110">
        <f>IF(Data[[#This Row],[Category Type]]="Expense",-Data[[#This Row],[Amount]],0)</f>
        <v>137</v>
      </c>
    </row>
    <row r="111" spans="1:13" x14ac:dyDescent="0.25">
      <c r="A111" t="s">
        <v>4</v>
      </c>
      <c r="B111" s="1">
        <v>44267</v>
      </c>
      <c r="C111" t="s">
        <v>13</v>
      </c>
      <c r="D111">
        <v>5</v>
      </c>
      <c r="E111">
        <v>0</v>
      </c>
      <c r="F111">
        <v>-5</v>
      </c>
      <c r="G111" t="s">
        <v>14</v>
      </c>
      <c r="H111" t="s">
        <v>15</v>
      </c>
      <c r="I111" t="s">
        <v>16</v>
      </c>
      <c r="J111" t="str">
        <f>TEXT(Data[[#This Row],[Date]],"mmm")</f>
        <v>Mar</v>
      </c>
      <c r="K111">
        <f>MONTH(Data[[#This Row],[Date]])</f>
        <v>3</v>
      </c>
      <c r="L111">
        <f>IF(Data[[#This Row],[Category Type]]="Income",Data[[#This Row],[Amount]],0)</f>
        <v>0</v>
      </c>
      <c r="M111">
        <f>IF(Data[[#This Row],[Category Type]]="Expense",-Data[[#This Row],[Amount]],0)</f>
        <v>5</v>
      </c>
    </row>
    <row r="112" spans="1:13" x14ac:dyDescent="0.25">
      <c r="A112" t="s">
        <v>4</v>
      </c>
      <c r="B112" s="1">
        <v>44268</v>
      </c>
      <c r="C112" t="s">
        <v>13</v>
      </c>
      <c r="D112">
        <v>5</v>
      </c>
      <c r="E112">
        <v>0</v>
      </c>
      <c r="F112">
        <v>-5</v>
      </c>
      <c r="G112" t="s">
        <v>14</v>
      </c>
      <c r="H112" t="s">
        <v>15</v>
      </c>
      <c r="I112" t="s">
        <v>16</v>
      </c>
      <c r="J112" t="str">
        <f>TEXT(Data[[#This Row],[Date]],"mmm")</f>
        <v>Mar</v>
      </c>
      <c r="K112">
        <f>MONTH(Data[[#This Row],[Date]])</f>
        <v>3</v>
      </c>
      <c r="L112">
        <f>IF(Data[[#This Row],[Category Type]]="Income",Data[[#This Row],[Amount]],0)</f>
        <v>0</v>
      </c>
      <c r="M112">
        <f>IF(Data[[#This Row],[Category Type]]="Expense",-Data[[#This Row],[Amount]],0)</f>
        <v>5</v>
      </c>
    </row>
    <row r="113" spans="1:13" x14ac:dyDescent="0.25">
      <c r="A113" t="s">
        <v>4</v>
      </c>
      <c r="B113" s="1">
        <v>44268</v>
      </c>
      <c r="C113" t="s">
        <v>29</v>
      </c>
      <c r="D113">
        <v>41.8</v>
      </c>
      <c r="E113">
        <v>0</v>
      </c>
      <c r="F113">
        <v>-41.8</v>
      </c>
      <c r="G113" t="s">
        <v>21</v>
      </c>
      <c r="H113" t="s">
        <v>30</v>
      </c>
      <c r="I113" t="s">
        <v>16</v>
      </c>
      <c r="J113" t="str">
        <f>TEXT(Data[[#This Row],[Date]],"mmm")</f>
        <v>Mar</v>
      </c>
      <c r="K113">
        <f>MONTH(Data[[#This Row],[Date]])</f>
        <v>3</v>
      </c>
      <c r="L113">
        <f>IF(Data[[#This Row],[Category Type]]="Income",Data[[#This Row],[Amount]],0)</f>
        <v>0</v>
      </c>
      <c r="M113">
        <f>IF(Data[[#This Row],[Category Type]]="Expense",-Data[[#This Row],[Amount]],0)</f>
        <v>41.8</v>
      </c>
    </row>
    <row r="114" spans="1:13" x14ac:dyDescent="0.25">
      <c r="A114" t="s">
        <v>4</v>
      </c>
      <c r="B114" s="1">
        <v>44268</v>
      </c>
      <c r="C114" t="s">
        <v>31</v>
      </c>
      <c r="D114">
        <v>99.9</v>
      </c>
      <c r="E114">
        <v>0</v>
      </c>
      <c r="F114">
        <v>-99.9</v>
      </c>
      <c r="G114" t="s">
        <v>32</v>
      </c>
      <c r="H114" t="s">
        <v>30</v>
      </c>
      <c r="I114" t="s">
        <v>16</v>
      </c>
      <c r="J114" t="str">
        <f>TEXT(Data[[#This Row],[Date]],"mmm")</f>
        <v>Mar</v>
      </c>
      <c r="K114">
        <f>MONTH(Data[[#This Row],[Date]])</f>
        <v>3</v>
      </c>
      <c r="L114">
        <f>IF(Data[[#This Row],[Category Type]]="Income",Data[[#This Row],[Amount]],0)</f>
        <v>0</v>
      </c>
      <c r="M114">
        <f>IF(Data[[#This Row],[Category Type]]="Expense",-Data[[#This Row],[Amount]],0)</f>
        <v>99.9</v>
      </c>
    </row>
    <row r="115" spans="1:13" x14ac:dyDescent="0.25">
      <c r="A115" t="s">
        <v>4</v>
      </c>
      <c r="B115" s="1">
        <v>44268</v>
      </c>
      <c r="C115" t="s">
        <v>33</v>
      </c>
      <c r="D115">
        <v>54</v>
      </c>
      <c r="E115">
        <v>0</v>
      </c>
      <c r="F115">
        <v>-54</v>
      </c>
      <c r="G115" t="s">
        <v>34</v>
      </c>
      <c r="H115" t="s">
        <v>15</v>
      </c>
      <c r="I115" t="s">
        <v>16</v>
      </c>
      <c r="J115" t="str">
        <f>TEXT(Data[[#This Row],[Date]],"mmm")</f>
        <v>Mar</v>
      </c>
      <c r="K115">
        <f>MONTH(Data[[#This Row],[Date]])</f>
        <v>3</v>
      </c>
      <c r="L115">
        <f>IF(Data[[#This Row],[Category Type]]="Income",Data[[#This Row],[Amount]],0)</f>
        <v>0</v>
      </c>
      <c r="M115">
        <f>IF(Data[[#This Row],[Category Type]]="Expense",-Data[[#This Row],[Amount]],0)</f>
        <v>54</v>
      </c>
    </row>
    <row r="116" spans="1:13" x14ac:dyDescent="0.25">
      <c r="A116" t="s">
        <v>4</v>
      </c>
      <c r="B116" s="1">
        <v>44269</v>
      </c>
      <c r="C116" t="s">
        <v>35</v>
      </c>
      <c r="D116">
        <v>30</v>
      </c>
      <c r="E116">
        <v>0</v>
      </c>
      <c r="F116">
        <v>-30</v>
      </c>
      <c r="G116" t="s">
        <v>36</v>
      </c>
      <c r="H116" t="s">
        <v>22</v>
      </c>
      <c r="I116" t="s">
        <v>16</v>
      </c>
      <c r="J116" t="str">
        <f>TEXT(Data[[#This Row],[Date]],"mmm")</f>
        <v>Mar</v>
      </c>
      <c r="K116">
        <f>MONTH(Data[[#This Row],[Date]])</f>
        <v>3</v>
      </c>
      <c r="L116">
        <f>IF(Data[[#This Row],[Category Type]]="Income",Data[[#This Row],[Amount]],0)</f>
        <v>0</v>
      </c>
      <c r="M116">
        <f>IF(Data[[#This Row],[Category Type]]="Expense",-Data[[#This Row],[Amount]],0)</f>
        <v>30</v>
      </c>
    </row>
    <row r="117" spans="1:13" x14ac:dyDescent="0.25">
      <c r="A117" t="s">
        <v>9</v>
      </c>
      <c r="B117" s="1">
        <v>44270</v>
      </c>
      <c r="C117" t="s">
        <v>37</v>
      </c>
      <c r="D117">
        <v>30</v>
      </c>
      <c r="E117">
        <v>0</v>
      </c>
      <c r="F117">
        <v>-30</v>
      </c>
      <c r="G117" t="s">
        <v>38</v>
      </c>
      <c r="H117" t="s">
        <v>30</v>
      </c>
      <c r="I117" t="s">
        <v>16</v>
      </c>
      <c r="J117" t="str">
        <f>TEXT(Data[[#This Row],[Date]],"mmm")</f>
        <v>Mar</v>
      </c>
      <c r="K117">
        <f>MONTH(Data[[#This Row],[Date]])</f>
        <v>3</v>
      </c>
      <c r="L117">
        <f>IF(Data[[#This Row],[Category Type]]="Income",Data[[#This Row],[Amount]],0)</f>
        <v>0</v>
      </c>
      <c r="M117">
        <f>IF(Data[[#This Row],[Category Type]]="Expense",-Data[[#This Row],[Amount]],0)</f>
        <v>30</v>
      </c>
    </row>
    <row r="118" spans="1:13" x14ac:dyDescent="0.25">
      <c r="A118" t="s">
        <v>4</v>
      </c>
      <c r="B118" s="1">
        <v>44270</v>
      </c>
      <c r="C118" t="s">
        <v>13</v>
      </c>
      <c r="D118">
        <v>5</v>
      </c>
      <c r="E118">
        <v>0</v>
      </c>
      <c r="F118">
        <v>-5</v>
      </c>
      <c r="G118" t="s">
        <v>14</v>
      </c>
      <c r="H118" t="s">
        <v>15</v>
      </c>
      <c r="I118" t="s">
        <v>16</v>
      </c>
      <c r="J118" t="str">
        <f>TEXT(Data[[#This Row],[Date]],"mmm")</f>
        <v>Mar</v>
      </c>
      <c r="K118">
        <f>MONTH(Data[[#This Row],[Date]])</f>
        <v>3</v>
      </c>
      <c r="L118">
        <f>IF(Data[[#This Row],[Category Type]]="Income",Data[[#This Row],[Amount]],0)</f>
        <v>0</v>
      </c>
      <c r="M118">
        <f>IF(Data[[#This Row],[Category Type]]="Expense",-Data[[#This Row],[Amount]],0)</f>
        <v>5</v>
      </c>
    </row>
    <row r="119" spans="1:13" x14ac:dyDescent="0.25">
      <c r="A119" t="s">
        <v>4</v>
      </c>
      <c r="B119" s="1">
        <v>44271</v>
      </c>
      <c r="C119" t="s">
        <v>13</v>
      </c>
      <c r="D119">
        <v>5</v>
      </c>
      <c r="E119">
        <v>0</v>
      </c>
      <c r="F119">
        <v>-5</v>
      </c>
      <c r="G119" t="s">
        <v>14</v>
      </c>
      <c r="H119" t="s">
        <v>15</v>
      </c>
      <c r="I119" t="s">
        <v>16</v>
      </c>
      <c r="J119" t="str">
        <f>TEXT(Data[[#This Row],[Date]],"mmm")</f>
        <v>Mar</v>
      </c>
      <c r="K119">
        <f>MONTH(Data[[#This Row],[Date]])</f>
        <v>3</v>
      </c>
      <c r="L119">
        <f>IF(Data[[#This Row],[Category Type]]="Income",Data[[#This Row],[Amount]],0)</f>
        <v>0</v>
      </c>
      <c r="M119">
        <f>IF(Data[[#This Row],[Category Type]]="Expense",-Data[[#This Row],[Amount]],0)</f>
        <v>5</v>
      </c>
    </row>
    <row r="120" spans="1:13" x14ac:dyDescent="0.25">
      <c r="A120" t="s">
        <v>9</v>
      </c>
      <c r="B120" s="1">
        <v>44271</v>
      </c>
      <c r="C120" t="s">
        <v>55</v>
      </c>
      <c r="D120">
        <v>75</v>
      </c>
      <c r="E120">
        <v>0</v>
      </c>
      <c r="F120">
        <v>-75</v>
      </c>
      <c r="G120" t="s">
        <v>40</v>
      </c>
      <c r="H120" t="s">
        <v>41</v>
      </c>
      <c r="I120" t="s">
        <v>16</v>
      </c>
      <c r="J120" t="str">
        <f>TEXT(Data[[#This Row],[Date]],"mmm")</f>
        <v>Mar</v>
      </c>
      <c r="K120">
        <f>MONTH(Data[[#This Row],[Date]])</f>
        <v>3</v>
      </c>
      <c r="L120">
        <f>IF(Data[[#This Row],[Category Type]]="Income",Data[[#This Row],[Amount]],0)</f>
        <v>0</v>
      </c>
      <c r="M120">
        <f>IF(Data[[#This Row],[Category Type]]="Expense",-Data[[#This Row],[Amount]],0)</f>
        <v>75</v>
      </c>
    </row>
    <row r="121" spans="1:13" x14ac:dyDescent="0.25">
      <c r="A121" t="s">
        <v>9</v>
      </c>
      <c r="B121" s="1">
        <v>44271</v>
      </c>
      <c r="C121" t="s">
        <v>42</v>
      </c>
      <c r="D121">
        <v>40</v>
      </c>
      <c r="E121">
        <v>0</v>
      </c>
      <c r="F121">
        <v>-40</v>
      </c>
      <c r="G121" t="s">
        <v>43</v>
      </c>
      <c r="H121" t="s">
        <v>19</v>
      </c>
      <c r="I121" t="s">
        <v>16</v>
      </c>
      <c r="J121" t="str">
        <f>TEXT(Data[[#This Row],[Date]],"mmm")</f>
        <v>Mar</v>
      </c>
      <c r="K121">
        <f>MONTH(Data[[#This Row],[Date]])</f>
        <v>3</v>
      </c>
      <c r="L121">
        <f>IF(Data[[#This Row],[Category Type]]="Income",Data[[#This Row],[Amount]],0)</f>
        <v>0</v>
      </c>
      <c r="M121">
        <f>IF(Data[[#This Row],[Category Type]]="Expense",-Data[[#This Row],[Amount]],0)</f>
        <v>40</v>
      </c>
    </row>
    <row r="122" spans="1:13" x14ac:dyDescent="0.25">
      <c r="A122" t="s">
        <v>4</v>
      </c>
      <c r="B122" s="1">
        <v>44272</v>
      </c>
      <c r="C122" t="s">
        <v>44</v>
      </c>
      <c r="D122">
        <v>46.8</v>
      </c>
      <c r="E122">
        <v>0</v>
      </c>
      <c r="F122">
        <v>-46.8</v>
      </c>
      <c r="G122" t="s">
        <v>45</v>
      </c>
      <c r="H122" t="s">
        <v>30</v>
      </c>
      <c r="I122" t="s">
        <v>16</v>
      </c>
      <c r="J122" t="str">
        <f>TEXT(Data[[#This Row],[Date]],"mmm")</f>
        <v>Mar</v>
      </c>
      <c r="K122">
        <f>MONTH(Data[[#This Row],[Date]])</f>
        <v>3</v>
      </c>
      <c r="L122">
        <f>IF(Data[[#This Row],[Category Type]]="Income",Data[[#This Row],[Amount]],0)</f>
        <v>0</v>
      </c>
      <c r="M122">
        <f>IF(Data[[#This Row],[Category Type]]="Expense",-Data[[#This Row],[Amount]],0)</f>
        <v>46.8</v>
      </c>
    </row>
    <row r="123" spans="1:13" x14ac:dyDescent="0.25">
      <c r="A123" t="s">
        <v>4</v>
      </c>
      <c r="B123" s="1">
        <v>44272</v>
      </c>
      <c r="C123" t="s">
        <v>46</v>
      </c>
      <c r="D123">
        <v>35</v>
      </c>
      <c r="E123">
        <v>0</v>
      </c>
      <c r="F123">
        <v>-35</v>
      </c>
      <c r="G123" t="s">
        <v>21</v>
      </c>
      <c r="H123" t="s">
        <v>30</v>
      </c>
      <c r="I123" t="s">
        <v>16</v>
      </c>
      <c r="J123" t="str">
        <f>TEXT(Data[[#This Row],[Date]],"mmm")</f>
        <v>Mar</v>
      </c>
      <c r="K123">
        <f>MONTH(Data[[#This Row],[Date]])</f>
        <v>3</v>
      </c>
      <c r="L123">
        <f>IF(Data[[#This Row],[Category Type]]="Income",Data[[#This Row],[Amount]],0)</f>
        <v>0</v>
      </c>
      <c r="M123">
        <f>IF(Data[[#This Row],[Category Type]]="Expense",-Data[[#This Row],[Amount]],0)</f>
        <v>35</v>
      </c>
    </row>
    <row r="124" spans="1:13" x14ac:dyDescent="0.25">
      <c r="A124" t="s">
        <v>4</v>
      </c>
      <c r="B124" s="1">
        <v>44272</v>
      </c>
      <c r="C124" t="s">
        <v>13</v>
      </c>
      <c r="D124">
        <v>5</v>
      </c>
      <c r="E124">
        <v>0</v>
      </c>
      <c r="F124">
        <v>-5</v>
      </c>
      <c r="G124" t="s">
        <v>14</v>
      </c>
      <c r="H124" t="s">
        <v>15</v>
      </c>
      <c r="I124" t="s">
        <v>16</v>
      </c>
      <c r="J124" t="str">
        <f>TEXT(Data[[#This Row],[Date]],"mmm")</f>
        <v>Mar</v>
      </c>
      <c r="K124">
        <f>MONTH(Data[[#This Row],[Date]])</f>
        <v>3</v>
      </c>
      <c r="L124">
        <f>IF(Data[[#This Row],[Category Type]]="Income",Data[[#This Row],[Amount]],0)</f>
        <v>0</v>
      </c>
      <c r="M124">
        <f>IF(Data[[#This Row],[Category Type]]="Expense",-Data[[#This Row],[Amount]],0)</f>
        <v>5</v>
      </c>
    </row>
    <row r="125" spans="1:13" x14ac:dyDescent="0.25">
      <c r="A125" t="s">
        <v>4</v>
      </c>
      <c r="B125" s="1">
        <v>44273</v>
      </c>
      <c r="C125" t="s">
        <v>13</v>
      </c>
      <c r="D125">
        <v>5</v>
      </c>
      <c r="E125">
        <v>0</v>
      </c>
      <c r="F125">
        <v>-5</v>
      </c>
      <c r="G125" t="s">
        <v>14</v>
      </c>
      <c r="H125" t="s">
        <v>15</v>
      </c>
      <c r="I125" t="s">
        <v>16</v>
      </c>
      <c r="J125" t="str">
        <f>TEXT(Data[[#This Row],[Date]],"mmm")</f>
        <v>Mar</v>
      </c>
      <c r="K125">
        <f>MONTH(Data[[#This Row],[Date]])</f>
        <v>3</v>
      </c>
      <c r="L125">
        <f>IF(Data[[#This Row],[Category Type]]="Income",Data[[#This Row],[Amount]],0)</f>
        <v>0</v>
      </c>
      <c r="M125">
        <f>IF(Data[[#This Row],[Category Type]]="Expense",-Data[[#This Row],[Amount]],0)</f>
        <v>5</v>
      </c>
    </row>
    <row r="126" spans="1:13" x14ac:dyDescent="0.25">
      <c r="A126" t="s">
        <v>4</v>
      </c>
      <c r="B126" s="1">
        <v>44274</v>
      </c>
      <c r="C126" t="s">
        <v>13</v>
      </c>
      <c r="D126">
        <v>5</v>
      </c>
      <c r="E126">
        <v>0</v>
      </c>
      <c r="F126">
        <v>-5</v>
      </c>
      <c r="G126" t="s">
        <v>14</v>
      </c>
      <c r="H126" t="s">
        <v>15</v>
      </c>
      <c r="I126" t="s">
        <v>16</v>
      </c>
      <c r="J126" t="str">
        <f>TEXT(Data[[#This Row],[Date]],"mmm")</f>
        <v>Mar</v>
      </c>
      <c r="K126">
        <f>MONTH(Data[[#This Row],[Date]])</f>
        <v>3</v>
      </c>
      <c r="L126">
        <f>IF(Data[[#This Row],[Category Type]]="Income",Data[[#This Row],[Amount]],0)</f>
        <v>0</v>
      </c>
      <c r="M126">
        <f>IF(Data[[#This Row],[Category Type]]="Expense",-Data[[#This Row],[Amount]],0)</f>
        <v>5</v>
      </c>
    </row>
    <row r="127" spans="1:13" x14ac:dyDescent="0.25">
      <c r="A127" t="s">
        <v>4</v>
      </c>
      <c r="B127" s="1">
        <v>44274</v>
      </c>
      <c r="C127" t="s">
        <v>23</v>
      </c>
      <c r="D127">
        <v>171.9</v>
      </c>
      <c r="E127">
        <v>0</v>
      </c>
      <c r="F127">
        <v>-171.9</v>
      </c>
      <c r="G127" t="s">
        <v>24</v>
      </c>
      <c r="H127" t="s">
        <v>19</v>
      </c>
      <c r="I127" t="s">
        <v>16</v>
      </c>
      <c r="J127" t="str">
        <f>TEXT(Data[[#This Row],[Date]],"mmm")</f>
        <v>Mar</v>
      </c>
      <c r="K127">
        <f>MONTH(Data[[#This Row],[Date]])</f>
        <v>3</v>
      </c>
      <c r="L127">
        <f>IF(Data[[#This Row],[Category Type]]="Income",Data[[#This Row],[Amount]],0)</f>
        <v>0</v>
      </c>
      <c r="M127">
        <f>IF(Data[[#This Row],[Category Type]]="Expense",-Data[[#This Row],[Amount]],0)</f>
        <v>171.9</v>
      </c>
    </row>
    <row r="128" spans="1:13" x14ac:dyDescent="0.25">
      <c r="A128" t="s">
        <v>4</v>
      </c>
      <c r="B128" s="1">
        <v>44275</v>
      </c>
      <c r="C128" t="s">
        <v>47</v>
      </c>
      <c r="D128">
        <v>39</v>
      </c>
      <c r="E128">
        <v>0</v>
      </c>
      <c r="F128">
        <v>-39</v>
      </c>
      <c r="G128" t="s">
        <v>34</v>
      </c>
      <c r="H128" t="s">
        <v>15</v>
      </c>
      <c r="I128" t="s">
        <v>16</v>
      </c>
      <c r="J128" t="str">
        <f>TEXT(Data[[#This Row],[Date]],"mmm")</f>
        <v>Mar</v>
      </c>
      <c r="K128">
        <f>MONTH(Data[[#This Row],[Date]])</f>
        <v>3</v>
      </c>
      <c r="L128">
        <f>IF(Data[[#This Row],[Category Type]]="Income",Data[[#This Row],[Amount]],0)</f>
        <v>0</v>
      </c>
      <c r="M128">
        <f>IF(Data[[#This Row],[Category Type]]="Expense",-Data[[#This Row],[Amount]],0)</f>
        <v>39</v>
      </c>
    </row>
    <row r="129" spans="1:13" x14ac:dyDescent="0.25">
      <c r="A129" t="s">
        <v>4</v>
      </c>
      <c r="B129" s="1">
        <v>44276</v>
      </c>
      <c r="C129" t="s">
        <v>48</v>
      </c>
      <c r="D129">
        <v>14</v>
      </c>
      <c r="E129">
        <v>0</v>
      </c>
      <c r="F129">
        <v>-14</v>
      </c>
      <c r="G129" t="s">
        <v>34</v>
      </c>
      <c r="H129" t="s">
        <v>15</v>
      </c>
      <c r="I129" t="s">
        <v>16</v>
      </c>
      <c r="J129" t="str">
        <f>TEXT(Data[[#This Row],[Date]],"mmm")</f>
        <v>Mar</v>
      </c>
      <c r="K129">
        <f>MONTH(Data[[#This Row],[Date]])</f>
        <v>3</v>
      </c>
      <c r="L129">
        <f>IF(Data[[#This Row],[Category Type]]="Income",Data[[#This Row],[Amount]],0)</f>
        <v>0</v>
      </c>
      <c r="M129">
        <f>IF(Data[[#This Row],[Category Type]]="Expense",-Data[[#This Row],[Amount]],0)</f>
        <v>14</v>
      </c>
    </row>
    <row r="130" spans="1:13" x14ac:dyDescent="0.25">
      <c r="A130" t="s">
        <v>9</v>
      </c>
      <c r="B130" s="1">
        <v>44277</v>
      </c>
      <c r="C130" t="s">
        <v>49</v>
      </c>
      <c r="D130">
        <v>55</v>
      </c>
      <c r="E130">
        <v>0</v>
      </c>
      <c r="F130">
        <v>-55</v>
      </c>
      <c r="G130" t="s">
        <v>50</v>
      </c>
      <c r="H130" t="s">
        <v>51</v>
      </c>
      <c r="I130" t="s">
        <v>16</v>
      </c>
      <c r="J130" t="str">
        <f>TEXT(Data[[#This Row],[Date]],"mmm")</f>
        <v>Mar</v>
      </c>
      <c r="K130">
        <f>MONTH(Data[[#This Row],[Date]])</f>
        <v>3</v>
      </c>
      <c r="L130">
        <f>IF(Data[[#This Row],[Category Type]]="Income",Data[[#This Row],[Amount]],0)</f>
        <v>0</v>
      </c>
      <c r="M130">
        <f>IF(Data[[#This Row],[Category Type]]="Expense",-Data[[#This Row],[Amount]],0)</f>
        <v>55</v>
      </c>
    </row>
    <row r="131" spans="1:13" x14ac:dyDescent="0.25">
      <c r="A131" t="s">
        <v>4</v>
      </c>
      <c r="B131" s="1">
        <v>44277</v>
      </c>
      <c r="C131" t="s">
        <v>27</v>
      </c>
      <c r="D131">
        <v>65</v>
      </c>
      <c r="E131">
        <v>0</v>
      </c>
      <c r="F131">
        <v>-65</v>
      </c>
      <c r="G131" t="s">
        <v>28</v>
      </c>
      <c r="H131" t="s">
        <v>22</v>
      </c>
      <c r="I131" t="s">
        <v>16</v>
      </c>
      <c r="J131" t="str">
        <f>TEXT(Data[[#This Row],[Date]],"mmm")</f>
        <v>Mar</v>
      </c>
      <c r="K131">
        <f>MONTH(Data[[#This Row],[Date]])</f>
        <v>3</v>
      </c>
      <c r="L131">
        <f>IF(Data[[#This Row],[Category Type]]="Income",Data[[#This Row],[Amount]],0)</f>
        <v>0</v>
      </c>
      <c r="M131">
        <f>IF(Data[[#This Row],[Category Type]]="Expense",-Data[[#This Row],[Amount]],0)</f>
        <v>65</v>
      </c>
    </row>
    <row r="132" spans="1:13" x14ac:dyDescent="0.25">
      <c r="A132" t="s">
        <v>4</v>
      </c>
      <c r="B132" s="1">
        <v>44277</v>
      </c>
      <c r="C132" t="s">
        <v>13</v>
      </c>
      <c r="D132">
        <v>5</v>
      </c>
      <c r="E132">
        <v>0</v>
      </c>
      <c r="F132">
        <v>-5</v>
      </c>
      <c r="G132" t="s">
        <v>14</v>
      </c>
      <c r="H132" t="s">
        <v>15</v>
      </c>
      <c r="I132" t="s">
        <v>16</v>
      </c>
      <c r="J132" t="str">
        <f>TEXT(Data[[#This Row],[Date]],"mmm")</f>
        <v>Mar</v>
      </c>
      <c r="K132">
        <f>MONTH(Data[[#This Row],[Date]])</f>
        <v>3</v>
      </c>
      <c r="L132">
        <f>IF(Data[[#This Row],[Category Type]]="Income",Data[[#This Row],[Amount]],0)</f>
        <v>0</v>
      </c>
      <c r="M132">
        <f>IF(Data[[#This Row],[Category Type]]="Expense",-Data[[#This Row],[Amount]],0)</f>
        <v>5</v>
      </c>
    </row>
    <row r="133" spans="1:13" x14ac:dyDescent="0.25">
      <c r="A133" t="s">
        <v>4</v>
      </c>
      <c r="B133" s="1">
        <v>44278</v>
      </c>
      <c r="C133" t="s">
        <v>13</v>
      </c>
      <c r="D133">
        <v>5</v>
      </c>
      <c r="E133">
        <v>0</v>
      </c>
      <c r="F133">
        <v>-5</v>
      </c>
      <c r="G133" t="s">
        <v>14</v>
      </c>
      <c r="H133" t="s">
        <v>15</v>
      </c>
      <c r="I133" t="s">
        <v>16</v>
      </c>
      <c r="J133" t="str">
        <f>TEXT(Data[[#This Row],[Date]],"mmm")</f>
        <v>Mar</v>
      </c>
      <c r="K133">
        <f>MONTH(Data[[#This Row],[Date]])</f>
        <v>3</v>
      </c>
      <c r="L133">
        <f>IF(Data[[#This Row],[Category Type]]="Income",Data[[#This Row],[Amount]],0)</f>
        <v>0</v>
      </c>
      <c r="M133">
        <f>IF(Data[[#This Row],[Category Type]]="Expense",-Data[[#This Row],[Amount]],0)</f>
        <v>5</v>
      </c>
    </row>
    <row r="134" spans="1:13" x14ac:dyDescent="0.25">
      <c r="A134" t="s">
        <v>4</v>
      </c>
      <c r="B134" s="1">
        <v>44279</v>
      </c>
      <c r="C134" t="s">
        <v>13</v>
      </c>
      <c r="D134">
        <v>5</v>
      </c>
      <c r="E134">
        <v>0</v>
      </c>
      <c r="F134">
        <v>-5</v>
      </c>
      <c r="G134" t="s">
        <v>14</v>
      </c>
      <c r="H134" t="s">
        <v>15</v>
      </c>
      <c r="I134" t="s">
        <v>16</v>
      </c>
      <c r="J134" t="str">
        <f>TEXT(Data[[#This Row],[Date]],"mmm")</f>
        <v>Mar</v>
      </c>
      <c r="K134">
        <f>MONTH(Data[[#This Row],[Date]])</f>
        <v>3</v>
      </c>
      <c r="L134">
        <f>IF(Data[[#This Row],[Category Type]]="Income",Data[[#This Row],[Amount]],0)</f>
        <v>0</v>
      </c>
      <c r="M134">
        <f>IF(Data[[#This Row],[Category Type]]="Expense",-Data[[#This Row],[Amount]],0)</f>
        <v>5</v>
      </c>
    </row>
    <row r="135" spans="1:13" x14ac:dyDescent="0.25">
      <c r="A135" t="s">
        <v>4</v>
      </c>
      <c r="B135" s="1">
        <v>44280</v>
      </c>
      <c r="C135" t="s">
        <v>13</v>
      </c>
      <c r="D135">
        <v>5</v>
      </c>
      <c r="E135">
        <v>0</v>
      </c>
      <c r="F135">
        <v>-5</v>
      </c>
      <c r="G135" t="s">
        <v>14</v>
      </c>
      <c r="H135" t="s">
        <v>15</v>
      </c>
      <c r="I135" t="s">
        <v>16</v>
      </c>
      <c r="J135" t="str">
        <f>TEXT(Data[[#This Row],[Date]],"mmm")</f>
        <v>Mar</v>
      </c>
      <c r="K135">
        <f>MONTH(Data[[#This Row],[Date]])</f>
        <v>3</v>
      </c>
      <c r="L135">
        <f>IF(Data[[#This Row],[Category Type]]="Income",Data[[#This Row],[Amount]],0)</f>
        <v>0</v>
      </c>
      <c r="M135">
        <f>IF(Data[[#This Row],[Category Type]]="Expense",-Data[[#This Row],[Amount]],0)</f>
        <v>5</v>
      </c>
    </row>
    <row r="136" spans="1:13" x14ac:dyDescent="0.25">
      <c r="A136" t="s">
        <v>4</v>
      </c>
      <c r="B136" s="1">
        <v>44281</v>
      </c>
      <c r="C136" t="s">
        <v>13</v>
      </c>
      <c r="D136">
        <v>5</v>
      </c>
      <c r="E136">
        <v>0</v>
      </c>
      <c r="F136">
        <v>-5</v>
      </c>
      <c r="G136" t="s">
        <v>14</v>
      </c>
      <c r="H136" t="s">
        <v>15</v>
      </c>
      <c r="I136" t="s">
        <v>16</v>
      </c>
      <c r="J136" t="str">
        <f>TEXT(Data[[#This Row],[Date]],"mmm")</f>
        <v>Mar</v>
      </c>
      <c r="K136">
        <f>MONTH(Data[[#This Row],[Date]])</f>
        <v>3</v>
      </c>
      <c r="L136">
        <f>IF(Data[[#This Row],[Category Type]]="Income",Data[[#This Row],[Amount]],0)</f>
        <v>0</v>
      </c>
      <c r="M136">
        <f>IF(Data[[#This Row],[Category Type]]="Expense",-Data[[#This Row],[Amount]],0)</f>
        <v>5</v>
      </c>
    </row>
    <row r="137" spans="1:13" x14ac:dyDescent="0.25">
      <c r="A137" t="s">
        <v>4</v>
      </c>
      <c r="B137" s="1">
        <v>44281</v>
      </c>
      <c r="C137" t="s">
        <v>23</v>
      </c>
      <c r="D137">
        <v>209</v>
      </c>
      <c r="E137">
        <v>0</v>
      </c>
      <c r="F137">
        <v>-209</v>
      </c>
      <c r="G137" t="s">
        <v>24</v>
      </c>
      <c r="H137" t="s">
        <v>19</v>
      </c>
      <c r="I137" t="s">
        <v>16</v>
      </c>
      <c r="J137" t="str">
        <f>TEXT(Data[[#This Row],[Date]],"mmm")</f>
        <v>Mar</v>
      </c>
      <c r="K137">
        <f>MONTH(Data[[#This Row],[Date]])</f>
        <v>3</v>
      </c>
      <c r="L137">
        <f>IF(Data[[#This Row],[Category Type]]="Income",Data[[#This Row],[Amount]],0)</f>
        <v>0</v>
      </c>
      <c r="M137">
        <f>IF(Data[[#This Row],[Category Type]]="Expense",-Data[[#This Row],[Amount]],0)</f>
        <v>209</v>
      </c>
    </row>
    <row r="138" spans="1:13" x14ac:dyDescent="0.25">
      <c r="A138" t="s">
        <v>4</v>
      </c>
      <c r="B138" s="1">
        <v>44282</v>
      </c>
      <c r="C138" t="s">
        <v>52</v>
      </c>
      <c r="D138">
        <v>127</v>
      </c>
      <c r="E138">
        <v>0</v>
      </c>
      <c r="F138">
        <v>-127</v>
      </c>
      <c r="G138" t="s">
        <v>32</v>
      </c>
      <c r="H138" t="s">
        <v>30</v>
      </c>
      <c r="I138" t="s">
        <v>16</v>
      </c>
      <c r="J138" t="str">
        <f>TEXT(Data[[#This Row],[Date]],"mmm")</f>
        <v>Mar</v>
      </c>
      <c r="K138">
        <f>MONTH(Data[[#This Row],[Date]])</f>
        <v>3</v>
      </c>
      <c r="L138">
        <f>IF(Data[[#This Row],[Category Type]]="Income",Data[[#This Row],[Amount]],0)</f>
        <v>0</v>
      </c>
      <c r="M138">
        <f>IF(Data[[#This Row],[Category Type]]="Expense",-Data[[#This Row],[Amount]],0)</f>
        <v>127</v>
      </c>
    </row>
    <row r="139" spans="1:13" x14ac:dyDescent="0.25">
      <c r="A139" t="s">
        <v>4</v>
      </c>
      <c r="B139" s="1">
        <v>44282</v>
      </c>
      <c r="C139" t="s">
        <v>56</v>
      </c>
      <c r="D139">
        <v>177.2</v>
      </c>
      <c r="E139">
        <v>0</v>
      </c>
      <c r="F139">
        <v>-177.2</v>
      </c>
      <c r="G139" t="s">
        <v>32</v>
      </c>
      <c r="H139" t="s">
        <v>30</v>
      </c>
      <c r="I139" t="s">
        <v>16</v>
      </c>
      <c r="J139" t="str">
        <f>TEXT(Data[[#This Row],[Date]],"mmm")</f>
        <v>Mar</v>
      </c>
      <c r="K139">
        <f>MONTH(Data[[#This Row],[Date]])</f>
        <v>3</v>
      </c>
      <c r="L139">
        <f>IF(Data[[#This Row],[Category Type]]="Income",Data[[#This Row],[Amount]],0)</f>
        <v>0</v>
      </c>
      <c r="M139">
        <f>IF(Data[[#This Row],[Category Type]]="Expense",-Data[[#This Row],[Amount]],0)</f>
        <v>177.2</v>
      </c>
    </row>
    <row r="140" spans="1:13" x14ac:dyDescent="0.25">
      <c r="A140" t="s">
        <v>4</v>
      </c>
      <c r="B140" s="1">
        <v>44283</v>
      </c>
      <c r="C140" t="s">
        <v>31</v>
      </c>
      <c r="D140">
        <v>147.1</v>
      </c>
      <c r="E140">
        <v>0</v>
      </c>
      <c r="F140">
        <v>-147.1</v>
      </c>
      <c r="G140" t="s">
        <v>32</v>
      </c>
      <c r="H140" t="s">
        <v>30</v>
      </c>
      <c r="I140" t="s">
        <v>16</v>
      </c>
      <c r="J140" t="str">
        <f>TEXT(Data[[#This Row],[Date]],"mmm")</f>
        <v>Mar</v>
      </c>
      <c r="K140">
        <f>MONTH(Data[[#This Row],[Date]])</f>
        <v>3</v>
      </c>
      <c r="L140">
        <f>IF(Data[[#This Row],[Category Type]]="Income",Data[[#This Row],[Amount]],0)</f>
        <v>0</v>
      </c>
      <c r="M140">
        <f>IF(Data[[#This Row],[Category Type]]="Expense",-Data[[#This Row],[Amount]],0)</f>
        <v>147.1</v>
      </c>
    </row>
    <row r="141" spans="1:13" x14ac:dyDescent="0.25">
      <c r="A141" t="s">
        <v>4</v>
      </c>
      <c r="B141" s="1">
        <v>44283</v>
      </c>
      <c r="C141" t="s">
        <v>35</v>
      </c>
      <c r="D141">
        <v>25</v>
      </c>
      <c r="E141">
        <v>0</v>
      </c>
      <c r="F141">
        <v>-25</v>
      </c>
      <c r="G141" t="s">
        <v>36</v>
      </c>
      <c r="H141" t="s">
        <v>22</v>
      </c>
      <c r="I141" t="s">
        <v>16</v>
      </c>
      <c r="J141" t="str">
        <f>TEXT(Data[[#This Row],[Date]],"mmm")</f>
        <v>Mar</v>
      </c>
      <c r="K141">
        <f>MONTH(Data[[#This Row],[Date]])</f>
        <v>3</v>
      </c>
      <c r="L141">
        <f>IF(Data[[#This Row],[Category Type]]="Income",Data[[#This Row],[Amount]],0)</f>
        <v>0</v>
      </c>
      <c r="M141">
        <f>IF(Data[[#This Row],[Category Type]]="Expense",-Data[[#This Row],[Amount]],0)</f>
        <v>25</v>
      </c>
    </row>
    <row r="142" spans="1:13" x14ac:dyDescent="0.25">
      <c r="A142" t="s">
        <v>4</v>
      </c>
      <c r="B142" s="1">
        <v>44284</v>
      </c>
      <c r="C142" t="s">
        <v>57</v>
      </c>
      <c r="D142">
        <v>15</v>
      </c>
      <c r="E142">
        <v>0</v>
      </c>
      <c r="F142">
        <v>-15</v>
      </c>
      <c r="G142" t="s">
        <v>34</v>
      </c>
      <c r="H142" t="s">
        <v>15</v>
      </c>
      <c r="I142" t="s">
        <v>16</v>
      </c>
      <c r="J142" t="str">
        <f>TEXT(Data[[#This Row],[Date]],"mmm")</f>
        <v>Mar</v>
      </c>
      <c r="K142">
        <f>MONTH(Data[[#This Row],[Date]])</f>
        <v>3</v>
      </c>
      <c r="L142">
        <f>IF(Data[[#This Row],[Category Type]]="Income",Data[[#This Row],[Amount]],0)</f>
        <v>0</v>
      </c>
      <c r="M142">
        <f>IF(Data[[#This Row],[Category Type]]="Expense",-Data[[#This Row],[Amount]],0)</f>
        <v>15</v>
      </c>
    </row>
    <row r="143" spans="1:13" x14ac:dyDescent="0.25">
      <c r="A143" t="s">
        <v>4</v>
      </c>
      <c r="B143" s="1">
        <v>44285</v>
      </c>
      <c r="C143" t="s">
        <v>13</v>
      </c>
      <c r="D143">
        <v>5</v>
      </c>
      <c r="E143">
        <v>0</v>
      </c>
      <c r="F143">
        <v>-5</v>
      </c>
      <c r="G143" t="s">
        <v>14</v>
      </c>
      <c r="H143" t="s">
        <v>15</v>
      </c>
      <c r="I143" t="s">
        <v>16</v>
      </c>
      <c r="J143" t="str">
        <f>TEXT(Data[[#This Row],[Date]],"mmm")</f>
        <v>Mar</v>
      </c>
      <c r="K143">
        <f>MONTH(Data[[#This Row],[Date]])</f>
        <v>3</v>
      </c>
      <c r="L143">
        <f>IF(Data[[#This Row],[Category Type]]="Income",Data[[#This Row],[Amount]],0)</f>
        <v>0</v>
      </c>
      <c r="M143">
        <f>IF(Data[[#This Row],[Category Type]]="Expense",-Data[[#This Row],[Amount]],0)</f>
        <v>5</v>
      </c>
    </row>
    <row r="144" spans="1:13" x14ac:dyDescent="0.25">
      <c r="A144" t="s">
        <v>4</v>
      </c>
      <c r="B144" s="1">
        <v>44286</v>
      </c>
      <c r="C144" t="s">
        <v>13</v>
      </c>
      <c r="D144">
        <v>5</v>
      </c>
      <c r="E144">
        <v>0</v>
      </c>
      <c r="F144">
        <v>-5</v>
      </c>
      <c r="G144" t="s">
        <v>14</v>
      </c>
      <c r="H144" t="s">
        <v>15</v>
      </c>
      <c r="I144" t="s">
        <v>16</v>
      </c>
      <c r="J144" t="str">
        <f>TEXT(Data[[#This Row],[Date]],"mmm")</f>
        <v>Mar</v>
      </c>
      <c r="K144">
        <f>MONTH(Data[[#This Row],[Date]])</f>
        <v>3</v>
      </c>
      <c r="L144">
        <f>IF(Data[[#This Row],[Category Type]]="Income",Data[[#This Row],[Amount]],0)</f>
        <v>0</v>
      </c>
      <c r="M144">
        <f>IF(Data[[#This Row],[Category Type]]="Expense",-Data[[#This Row],[Amount]],0)</f>
        <v>5</v>
      </c>
    </row>
    <row r="145" spans="1:13" x14ac:dyDescent="0.25">
      <c r="A145" t="s">
        <v>9</v>
      </c>
      <c r="B145" s="1">
        <v>44287</v>
      </c>
      <c r="C145" t="s">
        <v>10</v>
      </c>
      <c r="D145">
        <v>0</v>
      </c>
      <c r="E145">
        <v>4000</v>
      </c>
      <c r="F145">
        <v>4000</v>
      </c>
      <c r="G145" t="s">
        <v>11</v>
      </c>
      <c r="H145" t="s">
        <v>11</v>
      </c>
      <c r="I145" t="s">
        <v>12</v>
      </c>
      <c r="J145" t="str">
        <f>TEXT(Data[[#This Row],[Date]],"mmm")</f>
        <v>Apr</v>
      </c>
      <c r="K145">
        <f>MONTH(Data[[#This Row],[Date]])</f>
        <v>4</v>
      </c>
      <c r="L145">
        <f>IF(Data[[#This Row],[Category Type]]="Income",Data[[#This Row],[Amount]],0)</f>
        <v>4000</v>
      </c>
      <c r="M145">
        <f>IF(Data[[#This Row],[Category Type]]="Expense",-Data[[#This Row],[Amount]],0)</f>
        <v>0</v>
      </c>
    </row>
    <row r="146" spans="1:13" x14ac:dyDescent="0.25">
      <c r="A146" t="s">
        <v>4</v>
      </c>
      <c r="B146" s="1">
        <v>44287</v>
      </c>
      <c r="C146" t="s">
        <v>13</v>
      </c>
      <c r="D146">
        <v>5</v>
      </c>
      <c r="E146">
        <v>0</v>
      </c>
      <c r="F146">
        <v>-5</v>
      </c>
      <c r="G146" t="s">
        <v>14</v>
      </c>
      <c r="H146" t="s">
        <v>15</v>
      </c>
      <c r="I146" t="s">
        <v>16</v>
      </c>
      <c r="J146" t="str">
        <f>TEXT(Data[[#This Row],[Date]],"mmm")</f>
        <v>Apr</v>
      </c>
      <c r="K146">
        <f>MONTH(Data[[#This Row],[Date]])</f>
        <v>4</v>
      </c>
      <c r="L146">
        <f>IF(Data[[#This Row],[Category Type]]="Income",Data[[#This Row],[Amount]],0)</f>
        <v>0</v>
      </c>
      <c r="M146">
        <f>IF(Data[[#This Row],[Category Type]]="Expense",-Data[[#This Row],[Amount]],0)</f>
        <v>5</v>
      </c>
    </row>
    <row r="147" spans="1:13" x14ac:dyDescent="0.25">
      <c r="A147" t="s">
        <v>9</v>
      </c>
      <c r="B147" s="1">
        <v>44288</v>
      </c>
      <c r="C147" t="s">
        <v>17</v>
      </c>
      <c r="D147">
        <v>900</v>
      </c>
      <c r="E147">
        <v>0</v>
      </c>
      <c r="F147">
        <v>-900</v>
      </c>
      <c r="G147" t="s">
        <v>18</v>
      </c>
      <c r="H147" t="s">
        <v>19</v>
      </c>
      <c r="I147" t="s">
        <v>16</v>
      </c>
      <c r="J147" t="str">
        <f>TEXT(Data[[#This Row],[Date]],"mmm")</f>
        <v>Apr</v>
      </c>
      <c r="K147">
        <f>MONTH(Data[[#This Row],[Date]])</f>
        <v>4</v>
      </c>
      <c r="L147">
        <f>IF(Data[[#This Row],[Category Type]]="Income",Data[[#This Row],[Amount]],0)</f>
        <v>0</v>
      </c>
      <c r="M147">
        <f>IF(Data[[#This Row],[Category Type]]="Expense",-Data[[#This Row],[Amount]],0)</f>
        <v>900</v>
      </c>
    </row>
    <row r="148" spans="1:13" x14ac:dyDescent="0.25">
      <c r="A148" t="s">
        <v>9</v>
      </c>
      <c r="B148" s="1">
        <v>44288</v>
      </c>
      <c r="C148" t="s">
        <v>20</v>
      </c>
      <c r="D148">
        <v>150</v>
      </c>
      <c r="E148">
        <v>0</v>
      </c>
      <c r="F148">
        <v>-150</v>
      </c>
      <c r="G148" t="s">
        <v>21</v>
      </c>
      <c r="H148" t="s">
        <v>22</v>
      </c>
      <c r="I148" t="s">
        <v>16</v>
      </c>
      <c r="J148" t="str">
        <f>TEXT(Data[[#This Row],[Date]],"mmm")</f>
        <v>Apr</v>
      </c>
      <c r="K148">
        <f>MONTH(Data[[#This Row],[Date]])</f>
        <v>4</v>
      </c>
      <c r="L148">
        <f>IF(Data[[#This Row],[Category Type]]="Income",Data[[#This Row],[Amount]],0)</f>
        <v>0</v>
      </c>
      <c r="M148">
        <f>IF(Data[[#This Row],[Category Type]]="Expense",-Data[[#This Row],[Amount]],0)</f>
        <v>150</v>
      </c>
    </row>
    <row r="149" spans="1:13" x14ac:dyDescent="0.25">
      <c r="A149" t="s">
        <v>4</v>
      </c>
      <c r="B149" s="1">
        <v>44288</v>
      </c>
      <c r="C149" t="s">
        <v>13</v>
      </c>
      <c r="D149">
        <v>5</v>
      </c>
      <c r="E149">
        <v>0</v>
      </c>
      <c r="F149">
        <v>-5</v>
      </c>
      <c r="G149" t="s">
        <v>14</v>
      </c>
      <c r="H149" t="s">
        <v>15</v>
      </c>
      <c r="I149" t="s">
        <v>16</v>
      </c>
      <c r="J149" t="str">
        <f>TEXT(Data[[#This Row],[Date]],"mmm")</f>
        <v>Apr</v>
      </c>
      <c r="K149">
        <f>MONTH(Data[[#This Row],[Date]])</f>
        <v>4</v>
      </c>
      <c r="L149">
        <f>IF(Data[[#This Row],[Category Type]]="Income",Data[[#This Row],[Amount]],0)</f>
        <v>0</v>
      </c>
      <c r="M149">
        <f>IF(Data[[#This Row],[Category Type]]="Expense",-Data[[#This Row],[Amount]],0)</f>
        <v>5</v>
      </c>
    </row>
    <row r="150" spans="1:13" x14ac:dyDescent="0.25">
      <c r="A150" t="s">
        <v>4</v>
      </c>
      <c r="B150" s="1">
        <v>44289</v>
      </c>
      <c r="C150" t="s">
        <v>13</v>
      </c>
      <c r="D150">
        <v>5</v>
      </c>
      <c r="E150">
        <v>0</v>
      </c>
      <c r="F150">
        <v>-5</v>
      </c>
      <c r="G150" t="s">
        <v>14</v>
      </c>
      <c r="H150" t="s">
        <v>15</v>
      </c>
      <c r="I150" t="s">
        <v>16</v>
      </c>
      <c r="J150" t="str">
        <f>TEXT(Data[[#This Row],[Date]],"mmm")</f>
        <v>Apr</v>
      </c>
      <c r="K150">
        <f>MONTH(Data[[#This Row],[Date]])</f>
        <v>4</v>
      </c>
      <c r="L150">
        <f>IF(Data[[#This Row],[Category Type]]="Income",Data[[#This Row],[Amount]],0)</f>
        <v>0</v>
      </c>
      <c r="M150">
        <f>IF(Data[[#This Row],[Category Type]]="Expense",-Data[[#This Row],[Amount]],0)</f>
        <v>5</v>
      </c>
    </row>
    <row r="151" spans="1:13" x14ac:dyDescent="0.25">
      <c r="A151" t="s">
        <v>4</v>
      </c>
      <c r="B151" s="1">
        <v>44290</v>
      </c>
      <c r="C151" t="s">
        <v>13</v>
      </c>
      <c r="D151">
        <v>5</v>
      </c>
      <c r="E151">
        <v>0</v>
      </c>
      <c r="F151">
        <v>-5</v>
      </c>
      <c r="G151" t="s">
        <v>14</v>
      </c>
      <c r="H151" t="s">
        <v>15</v>
      </c>
      <c r="I151" t="s">
        <v>16</v>
      </c>
      <c r="J151" t="str">
        <f>TEXT(Data[[#This Row],[Date]],"mmm")</f>
        <v>Apr</v>
      </c>
      <c r="K151">
        <f>MONTH(Data[[#This Row],[Date]])</f>
        <v>4</v>
      </c>
      <c r="L151">
        <f>IF(Data[[#This Row],[Category Type]]="Income",Data[[#This Row],[Amount]],0)</f>
        <v>0</v>
      </c>
      <c r="M151">
        <f>IF(Data[[#This Row],[Category Type]]="Expense",-Data[[#This Row],[Amount]],0)</f>
        <v>5</v>
      </c>
    </row>
    <row r="152" spans="1:13" x14ac:dyDescent="0.25">
      <c r="A152" t="s">
        <v>4</v>
      </c>
      <c r="B152" s="1">
        <v>44291</v>
      </c>
      <c r="C152" t="s">
        <v>13</v>
      </c>
      <c r="D152">
        <v>5</v>
      </c>
      <c r="E152">
        <v>0</v>
      </c>
      <c r="F152">
        <v>-5</v>
      </c>
      <c r="G152" t="s">
        <v>14</v>
      </c>
      <c r="H152" t="s">
        <v>15</v>
      </c>
      <c r="I152" t="s">
        <v>16</v>
      </c>
      <c r="J152" t="str">
        <f>TEXT(Data[[#This Row],[Date]],"mmm")</f>
        <v>Apr</v>
      </c>
      <c r="K152">
        <f>MONTH(Data[[#This Row],[Date]])</f>
        <v>4</v>
      </c>
      <c r="L152">
        <f>IF(Data[[#This Row],[Category Type]]="Income",Data[[#This Row],[Amount]],0)</f>
        <v>0</v>
      </c>
      <c r="M152">
        <f>IF(Data[[#This Row],[Category Type]]="Expense",-Data[[#This Row],[Amount]],0)</f>
        <v>5</v>
      </c>
    </row>
    <row r="153" spans="1:13" x14ac:dyDescent="0.25">
      <c r="A153" t="s">
        <v>4</v>
      </c>
      <c r="B153" s="1">
        <v>44291</v>
      </c>
      <c r="C153" t="s">
        <v>23</v>
      </c>
      <c r="D153">
        <v>158.19999999999999</v>
      </c>
      <c r="E153">
        <v>0</v>
      </c>
      <c r="F153">
        <v>-158.19999999999999</v>
      </c>
      <c r="G153" t="s">
        <v>24</v>
      </c>
      <c r="H153" t="s">
        <v>19</v>
      </c>
      <c r="I153" t="s">
        <v>16</v>
      </c>
      <c r="J153" t="str">
        <f>TEXT(Data[[#This Row],[Date]],"mmm")</f>
        <v>Apr</v>
      </c>
      <c r="K153">
        <f>MONTH(Data[[#This Row],[Date]])</f>
        <v>4</v>
      </c>
      <c r="L153">
        <f>IF(Data[[#This Row],[Category Type]]="Income",Data[[#This Row],[Amount]],0)</f>
        <v>0</v>
      </c>
      <c r="M153">
        <f>IF(Data[[#This Row],[Category Type]]="Expense",-Data[[#This Row],[Amount]],0)</f>
        <v>158.19999999999999</v>
      </c>
    </row>
    <row r="154" spans="1:13" x14ac:dyDescent="0.25">
      <c r="A154" t="s">
        <v>9</v>
      </c>
      <c r="B154" s="1">
        <v>44294</v>
      </c>
      <c r="C154" t="s">
        <v>25</v>
      </c>
      <c r="D154">
        <v>53.2</v>
      </c>
      <c r="E154">
        <v>0</v>
      </c>
      <c r="F154">
        <v>-53.2</v>
      </c>
      <c r="G154" t="s">
        <v>26</v>
      </c>
      <c r="H154" t="s">
        <v>19</v>
      </c>
      <c r="I154" t="s">
        <v>16</v>
      </c>
      <c r="J154" t="str">
        <f>TEXT(Data[[#This Row],[Date]],"mmm")</f>
        <v>Apr</v>
      </c>
      <c r="K154">
        <f>MONTH(Data[[#This Row],[Date]])</f>
        <v>4</v>
      </c>
      <c r="L154">
        <f>IF(Data[[#This Row],[Category Type]]="Income",Data[[#This Row],[Amount]],0)</f>
        <v>0</v>
      </c>
      <c r="M154">
        <f>IF(Data[[#This Row],[Category Type]]="Expense",-Data[[#This Row],[Amount]],0)</f>
        <v>53.2</v>
      </c>
    </row>
    <row r="155" spans="1:13" x14ac:dyDescent="0.25">
      <c r="A155" t="s">
        <v>4</v>
      </c>
      <c r="B155" s="1">
        <v>44294</v>
      </c>
      <c r="C155" t="s">
        <v>13</v>
      </c>
      <c r="D155">
        <v>5</v>
      </c>
      <c r="E155">
        <v>0</v>
      </c>
      <c r="F155">
        <v>-5</v>
      </c>
      <c r="G155" t="s">
        <v>14</v>
      </c>
      <c r="H155" t="s">
        <v>15</v>
      </c>
      <c r="I155" t="s">
        <v>16</v>
      </c>
      <c r="J155" t="str">
        <f>TEXT(Data[[#This Row],[Date]],"mmm")</f>
        <v>Apr</v>
      </c>
      <c r="K155">
        <f>MONTH(Data[[#This Row],[Date]])</f>
        <v>4</v>
      </c>
      <c r="L155">
        <f>IF(Data[[#This Row],[Category Type]]="Income",Data[[#This Row],[Amount]],0)</f>
        <v>0</v>
      </c>
      <c r="M155">
        <f>IF(Data[[#This Row],[Category Type]]="Expense",-Data[[#This Row],[Amount]],0)</f>
        <v>5</v>
      </c>
    </row>
    <row r="156" spans="1:13" x14ac:dyDescent="0.25">
      <c r="A156" t="s">
        <v>4</v>
      </c>
      <c r="B156" s="1">
        <v>44295</v>
      </c>
      <c r="C156" t="s">
        <v>13</v>
      </c>
      <c r="D156">
        <v>5</v>
      </c>
      <c r="E156">
        <v>0</v>
      </c>
      <c r="F156">
        <v>-5</v>
      </c>
      <c r="G156" t="s">
        <v>14</v>
      </c>
      <c r="H156" t="s">
        <v>15</v>
      </c>
      <c r="I156" t="s">
        <v>16</v>
      </c>
      <c r="J156" t="str">
        <f>TEXT(Data[[#This Row],[Date]],"mmm")</f>
        <v>Apr</v>
      </c>
      <c r="K156">
        <f>MONTH(Data[[#This Row],[Date]])</f>
        <v>4</v>
      </c>
      <c r="L156">
        <f>IF(Data[[#This Row],[Category Type]]="Income",Data[[#This Row],[Amount]],0)</f>
        <v>0</v>
      </c>
      <c r="M156">
        <f>IF(Data[[#This Row],[Category Type]]="Expense",-Data[[#This Row],[Amount]],0)</f>
        <v>5</v>
      </c>
    </row>
    <row r="157" spans="1:13" x14ac:dyDescent="0.25">
      <c r="A157" t="s">
        <v>4</v>
      </c>
      <c r="B157" s="1">
        <v>44296</v>
      </c>
      <c r="C157" t="s">
        <v>27</v>
      </c>
      <c r="D157">
        <v>79.900000000000006</v>
      </c>
      <c r="E157">
        <v>0</v>
      </c>
      <c r="F157">
        <v>-79.900000000000006</v>
      </c>
      <c r="G157" t="s">
        <v>28</v>
      </c>
      <c r="H157" t="s">
        <v>22</v>
      </c>
      <c r="I157" t="s">
        <v>16</v>
      </c>
      <c r="J157" t="str">
        <f>TEXT(Data[[#This Row],[Date]],"mmm")</f>
        <v>Apr</v>
      </c>
      <c r="K157">
        <f>MONTH(Data[[#This Row],[Date]])</f>
        <v>4</v>
      </c>
      <c r="L157">
        <f>IF(Data[[#This Row],[Category Type]]="Income",Data[[#This Row],[Amount]],0)</f>
        <v>0</v>
      </c>
      <c r="M157">
        <f>IF(Data[[#This Row],[Category Type]]="Expense",-Data[[#This Row],[Amount]],0)</f>
        <v>79.900000000000006</v>
      </c>
    </row>
    <row r="158" spans="1:13" x14ac:dyDescent="0.25">
      <c r="A158" t="s">
        <v>4</v>
      </c>
      <c r="B158" s="1">
        <v>44296</v>
      </c>
      <c r="C158" t="s">
        <v>13</v>
      </c>
      <c r="D158">
        <v>5</v>
      </c>
      <c r="E158">
        <v>0</v>
      </c>
      <c r="F158">
        <v>-5</v>
      </c>
      <c r="G158" t="s">
        <v>14</v>
      </c>
      <c r="H158" t="s">
        <v>15</v>
      </c>
      <c r="I158" t="s">
        <v>16</v>
      </c>
      <c r="J158" t="str">
        <f>TEXT(Data[[#This Row],[Date]],"mmm")</f>
        <v>Apr</v>
      </c>
      <c r="K158">
        <f>MONTH(Data[[#This Row],[Date]])</f>
        <v>4</v>
      </c>
      <c r="L158">
        <f>IF(Data[[#This Row],[Category Type]]="Income",Data[[#This Row],[Amount]],0)</f>
        <v>0</v>
      </c>
      <c r="M158">
        <f>IF(Data[[#This Row],[Category Type]]="Expense",-Data[[#This Row],[Amount]],0)</f>
        <v>5</v>
      </c>
    </row>
    <row r="159" spans="1:13" x14ac:dyDescent="0.25">
      <c r="A159" t="s">
        <v>4</v>
      </c>
      <c r="B159" s="1">
        <v>44297</v>
      </c>
      <c r="C159" t="s">
        <v>13</v>
      </c>
      <c r="D159">
        <v>5</v>
      </c>
      <c r="E159">
        <v>0</v>
      </c>
      <c r="F159">
        <v>-5</v>
      </c>
      <c r="G159" t="s">
        <v>14</v>
      </c>
      <c r="H159" t="s">
        <v>15</v>
      </c>
      <c r="I159" t="s">
        <v>16</v>
      </c>
      <c r="J159" t="str">
        <f>TEXT(Data[[#This Row],[Date]],"mmm")</f>
        <v>Apr</v>
      </c>
      <c r="K159">
        <f>MONTH(Data[[#This Row],[Date]])</f>
        <v>4</v>
      </c>
      <c r="L159">
        <f>IF(Data[[#This Row],[Category Type]]="Income",Data[[#This Row],[Amount]],0)</f>
        <v>0</v>
      </c>
      <c r="M159">
        <f>IF(Data[[#This Row],[Category Type]]="Expense",-Data[[#This Row],[Amount]],0)</f>
        <v>5</v>
      </c>
    </row>
    <row r="160" spans="1:13" x14ac:dyDescent="0.25">
      <c r="A160" t="s">
        <v>4</v>
      </c>
      <c r="B160" s="1">
        <v>44298</v>
      </c>
      <c r="C160" t="s">
        <v>23</v>
      </c>
      <c r="D160">
        <v>98</v>
      </c>
      <c r="E160">
        <v>0</v>
      </c>
      <c r="F160">
        <v>-98</v>
      </c>
      <c r="G160" t="s">
        <v>24</v>
      </c>
      <c r="H160" t="s">
        <v>19</v>
      </c>
      <c r="I160" t="s">
        <v>16</v>
      </c>
      <c r="J160" t="str">
        <f>TEXT(Data[[#This Row],[Date]],"mmm")</f>
        <v>Apr</v>
      </c>
      <c r="K160">
        <f>MONTH(Data[[#This Row],[Date]])</f>
        <v>4</v>
      </c>
      <c r="L160">
        <f>IF(Data[[#This Row],[Category Type]]="Income",Data[[#This Row],[Amount]],0)</f>
        <v>0</v>
      </c>
      <c r="M160">
        <f>IF(Data[[#This Row],[Category Type]]="Expense",-Data[[#This Row],[Amount]],0)</f>
        <v>98</v>
      </c>
    </row>
    <row r="161" spans="1:13" x14ac:dyDescent="0.25">
      <c r="A161" t="s">
        <v>4</v>
      </c>
      <c r="B161" s="1">
        <v>44298</v>
      </c>
      <c r="C161" t="s">
        <v>13</v>
      </c>
      <c r="D161">
        <v>5</v>
      </c>
      <c r="E161">
        <v>0</v>
      </c>
      <c r="F161">
        <v>-5</v>
      </c>
      <c r="G161" t="s">
        <v>14</v>
      </c>
      <c r="H161" t="s">
        <v>15</v>
      </c>
      <c r="I161" t="s">
        <v>16</v>
      </c>
      <c r="J161" t="str">
        <f>TEXT(Data[[#This Row],[Date]],"mmm")</f>
        <v>Apr</v>
      </c>
      <c r="K161">
        <f>MONTH(Data[[#This Row],[Date]])</f>
        <v>4</v>
      </c>
      <c r="L161">
        <f>IF(Data[[#This Row],[Category Type]]="Income",Data[[#This Row],[Amount]],0)</f>
        <v>0</v>
      </c>
      <c r="M161">
        <f>IF(Data[[#This Row],[Category Type]]="Expense",-Data[[#This Row],[Amount]],0)</f>
        <v>5</v>
      </c>
    </row>
    <row r="162" spans="1:13" x14ac:dyDescent="0.25">
      <c r="A162" t="s">
        <v>4</v>
      </c>
      <c r="B162" s="1">
        <v>44299</v>
      </c>
      <c r="C162" t="s">
        <v>13</v>
      </c>
      <c r="D162">
        <v>5</v>
      </c>
      <c r="E162">
        <v>0</v>
      </c>
      <c r="F162">
        <v>-5</v>
      </c>
      <c r="G162" t="s">
        <v>14</v>
      </c>
      <c r="H162" t="s">
        <v>15</v>
      </c>
      <c r="I162" t="s">
        <v>16</v>
      </c>
      <c r="J162" t="str">
        <f>TEXT(Data[[#This Row],[Date]],"mmm")</f>
        <v>Apr</v>
      </c>
      <c r="K162">
        <f>MONTH(Data[[#This Row],[Date]])</f>
        <v>4</v>
      </c>
      <c r="L162">
        <f>IF(Data[[#This Row],[Category Type]]="Income",Data[[#This Row],[Amount]],0)</f>
        <v>0</v>
      </c>
      <c r="M162">
        <f>IF(Data[[#This Row],[Category Type]]="Expense",-Data[[#This Row],[Amount]],0)</f>
        <v>5</v>
      </c>
    </row>
    <row r="163" spans="1:13" x14ac:dyDescent="0.25">
      <c r="A163" t="s">
        <v>4</v>
      </c>
      <c r="B163" s="1">
        <v>44299</v>
      </c>
      <c r="C163" t="s">
        <v>29</v>
      </c>
      <c r="D163">
        <v>42.8</v>
      </c>
      <c r="E163">
        <v>0</v>
      </c>
      <c r="F163">
        <v>-42.8</v>
      </c>
      <c r="G163" t="s">
        <v>21</v>
      </c>
      <c r="H163" t="s">
        <v>30</v>
      </c>
      <c r="I163" t="s">
        <v>16</v>
      </c>
      <c r="J163" t="str">
        <f>TEXT(Data[[#This Row],[Date]],"mmm")</f>
        <v>Apr</v>
      </c>
      <c r="K163">
        <f>MONTH(Data[[#This Row],[Date]])</f>
        <v>4</v>
      </c>
      <c r="L163">
        <f>IF(Data[[#This Row],[Category Type]]="Income",Data[[#This Row],[Amount]],0)</f>
        <v>0</v>
      </c>
      <c r="M163">
        <f>IF(Data[[#This Row],[Category Type]]="Expense",-Data[[#This Row],[Amount]],0)</f>
        <v>42.8</v>
      </c>
    </row>
    <row r="164" spans="1:13" x14ac:dyDescent="0.25">
      <c r="A164" t="s">
        <v>4</v>
      </c>
      <c r="B164" s="1">
        <v>44299</v>
      </c>
      <c r="C164" t="s">
        <v>31</v>
      </c>
      <c r="D164">
        <v>100.9</v>
      </c>
      <c r="E164">
        <v>0</v>
      </c>
      <c r="F164">
        <v>-100.9</v>
      </c>
      <c r="G164" t="s">
        <v>32</v>
      </c>
      <c r="H164" t="s">
        <v>30</v>
      </c>
      <c r="I164" t="s">
        <v>16</v>
      </c>
      <c r="J164" t="str">
        <f>TEXT(Data[[#This Row],[Date]],"mmm")</f>
        <v>Apr</v>
      </c>
      <c r="K164">
        <f>MONTH(Data[[#This Row],[Date]])</f>
        <v>4</v>
      </c>
      <c r="L164">
        <f>IF(Data[[#This Row],[Category Type]]="Income",Data[[#This Row],[Amount]],0)</f>
        <v>0</v>
      </c>
      <c r="M164">
        <f>IF(Data[[#This Row],[Category Type]]="Expense",-Data[[#This Row],[Amount]],0)</f>
        <v>100.9</v>
      </c>
    </row>
    <row r="165" spans="1:13" x14ac:dyDescent="0.25">
      <c r="A165" t="s">
        <v>4</v>
      </c>
      <c r="B165" s="1">
        <v>44299</v>
      </c>
      <c r="C165" t="s">
        <v>33</v>
      </c>
      <c r="D165">
        <v>54.9</v>
      </c>
      <c r="E165">
        <v>0</v>
      </c>
      <c r="F165">
        <v>-54.9</v>
      </c>
      <c r="G165" t="s">
        <v>34</v>
      </c>
      <c r="H165" t="s">
        <v>15</v>
      </c>
      <c r="I165" t="s">
        <v>16</v>
      </c>
      <c r="J165" t="str">
        <f>TEXT(Data[[#This Row],[Date]],"mmm")</f>
        <v>Apr</v>
      </c>
      <c r="K165">
        <f>MONTH(Data[[#This Row],[Date]])</f>
        <v>4</v>
      </c>
      <c r="L165">
        <f>IF(Data[[#This Row],[Category Type]]="Income",Data[[#This Row],[Amount]],0)</f>
        <v>0</v>
      </c>
      <c r="M165">
        <f>IF(Data[[#This Row],[Category Type]]="Expense",-Data[[#This Row],[Amount]],0)</f>
        <v>54.9</v>
      </c>
    </row>
    <row r="166" spans="1:13" x14ac:dyDescent="0.25">
      <c r="A166" t="s">
        <v>4</v>
      </c>
      <c r="B166" s="1">
        <v>44300</v>
      </c>
      <c r="C166" t="s">
        <v>35</v>
      </c>
      <c r="D166">
        <v>31</v>
      </c>
      <c r="E166">
        <v>0</v>
      </c>
      <c r="F166">
        <v>-31</v>
      </c>
      <c r="G166" t="s">
        <v>36</v>
      </c>
      <c r="H166" t="s">
        <v>22</v>
      </c>
      <c r="I166" t="s">
        <v>16</v>
      </c>
      <c r="J166" t="str">
        <f>TEXT(Data[[#This Row],[Date]],"mmm")</f>
        <v>Apr</v>
      </c>
      <c r="K166">
        <f>MONTH(Data[[#This Row],[Date]])</f>
        <v>4</v>
      </c>
      <c r="L166">
        <f>IF(Data[[#This Row],[Category Type]]="Income",Data[[#This Row],[Amount]],0)</f>
        <v>0</v>
      </c>
      <c r="M166">
        <f>IF(Data[[#This Row],[Category Type]]="Expense",-Data[[#This Row],[Amount]],0)</f>
        <v>31</v>
      </c>
    </row>
    <row r="167" spans="1:13" x14ac:dyDescent="0.25">
      <c r="A167" t="s">
        <v>9</v>
      </c>
      <c r="B167" s="1">
        <v>44301</v>
      </c>
      <c r="C167" t="s">
        <v>37</v>
      </c>
      <c r="D167">
        <v>30</v>
      </c>
      <c r="E167">
        <v>0</v>
      </c>
      <c r="F167">
        <v>-30</v>
      </c>
      <c r="G167" t="s">
        <v>38</v>
      </c>
      <c r="H167" t="s">
        <v>30</v>
      </c>
      <c r="I167" t="s">
        <v>16</v>
      </c>
      <c r="J167" t="str">
        <f>TEXT(Data[[#This Row],[Date]],"mmm")</f>
        <v>Apr</v>
      </c>
      <c r="K167">
        <f>MONTH(Data[[#This Row],[Date]])</f>
        <v>4</v>
      </c>
      <c r="L167">
        <f>IF(Data[[#This Row],[Category Type]]="Income",Data[[#This Row],[Amount]],0)</f>
        <v>0</v>
      </c>
      <c r="M167">
        <f>IF(Data[[#This Row],[Category Type]]="Expense",-Data[[#This Row],[Amount]],0)</f>
        <v>30</v>
      </c>
    </row>
    <row r="168" spans="1:13" x14ac:dyDescent="0.25">
      <c r="A168" t="s">
        <v>4</v>
      </c>
      <c r="B168" s="1">
        <v>44301</v>
      </c>
      <c r="C168" t="s">
        <v>13</v>
      </c>
      <c r="D168">
        <v>5</v>
      </c>
      <c r="E168">
        <v>0</v>
      </c>
      <c r="F168">
        <v>-5</v>
      </c>
      <c r="G168" t="s">
        <v>14</v>
      </c>
      <c r="H168" t="s">
        <v>15</v>
      </c>
      <c r="I168" t="s">
        <v>16</v>
      </c>
      <c r="J168" t="str">
        <f>TEXT(Data[[#This Row],[Date]],"mmm")</f>
        <v>Apr</v>
      </c>
      <c r="K168">
        <f>MONTH(Data[[#This Row],[Date]])</f>
        <v>4</v>
      </c>
      <c r="L168">
        <f>IF(Data[[#This Row],[Category Type]]="Income",Data[[#This Row],[Amount]],0)</f>
        <v>0</v>
      </c>
      <c r="M168">
        <f>IF(Data[[#This Row],[Category Type]]="Expense",-Data[[#This Row],[Amount]],0)</f>
        <v>5</v>
      </c>
    </row>
    <row r="169" spans="1:13" x14ac:dyDescent="0.25">
      <c r="A169" t="s">
        <v>4</v>
      </c>
      <c r="B169" s="1">
        <v>44302</v>
      </c>
      <c r="C169" t="s">
        <v>13</v>
      </c>
      <c r="D169">
        <v>5</v>
      </c>
      <c r="E169">
        <v>0</v>
      </c>
      <c r="F169">
        <v>-5</v>
      </c>
      <c r="G169" t="s">
        <v>14</v>
      </c>
      <c r="H169" t="s">
        <v>15</v>
      </c>
      <c r="I169" t="s">
        <v>16</v>
      </c>
      <c r="J169" t="str">
        <f>TEXT(Data[[#This Row],[Date]],"mmm")</f>
        <v>Apr</v>
      </c>
      <c r="K169">
        <f>MONTH(Data[[#This Row],[Date]])</f>
        <v>4</v>
      </c>
      <c r="L169">
        <f>IF(Data[[#This Row],[Category Type]]="Income",Data[[#This Row],[Amount]],0)</f>
        <v>0</v>
      </c>
      <c r="M169">
        <f>IF(Data[[#This Row],[Category Type]]="Expense",-Data[[#This Row],[Amount]],0)</f>
        <v>5</v>
      </c>
    </row>
    <row r="170" spans="1:13" x14ac:dyDescent="0.25">
      <c r="A170" t="s">
        <v>9</v>
      </c>
      <c r="B170" s="1">
        <v>44302</v>
      </c>
      <c r="C170" t="s">
        <v>42</v>
      </c>
      <c r="D170">
        <v>40</v>
      </c>
      <c r="E170">
        <v>0</v>
      </c>
      <c r="F170">
        <v>-40</v>
      </c>
      <c r="G170" t="s">
        <v>43</v>
      </c>
      <c r="H170" t="s">
        <v>19</v>
      </c>
      <c r="I170" t="s">
        <v>16</v>
      </c>
      <c r="J170" t="str">
        <f>TEXT(Data[[#This Row],[Date]],"mmm")</f>
        <v>Apr</v>
      </c>
      <c r="K170">
        <f>MONTH(Data[[#This Row],[Date]])</f>
        <v>4</v>
      </c>
      <c r="L170">
        <f>IF(Data[[#This Row],[Category Type]]="Income",Data[[#This Row],[Amount]],0)</f>
        <v>0</v>
      </c>
      <c r="M170">
        <f>IF(Data[[#This Row],[Category Type]]="Expense",-Data[[#This Row],[Amount]],0)</f>
        <v>40</v>
      </c>
    </row>
    <row r="171" spans="1:13" x14ac:dyDescent="0.25">
      <c r="A171" t="s">
        <v>4</v>
      </c>
      <c r="B171" s="1">
        <v>44303</v>
      </c>
      <c r="C171" t="s">
        <v>44</v>
      </c>
      <c r="D171">
        <v>47.9</v>
      </c>
      <c r="E171">
        <v>0</v>
      </c>
      <c r="F171">
        <v>-47.9</v>
      </c>
      <c r="G171" t="s">
        <v>45</v>
      </c>
      <c r="H171" t="s">
        <v>30</v>
      </c>
      <c r="I171" t="s">
        <v>16</v>
      </c>
      <c r="J171" t="str">
        <f>TEXT(Data[[#This Row],[Date]],"mmm")</f>
        <v>Apr</v>
      </c>
      <c r="K171">
        <f>MONTH(Data[[#This Row],[Date]])</f>
        <v>4</v>
      </c>
      <c r="L171">
        <f>IF(Data[[#This Row],[Category Type]]="Income",Data[[#This Row],[Amount]],0)</f>
        <v>0</v>
      </c>
      <c r="M171">
        <f>IF(Data[[#This Row],[Category Type]]="Expense",-Data[[#This Row],[Amount]],0)</f>
        <v>47.9</v>
      </c>
    </row>
    <row r="172" spans="1:13" x14ac:dyDescent="0.25">
      <c r="A172" t="s">
        <v>4</v>
      </c>
      <c r="B172" s="1">
        <v>44303</v>
      </c>
      <c r="C172" t="s">
        <v>46</v>
      </c>
      <c r="D172">
        <v>35</v>
      </c>
      <c r="E172">
        <v>0</v>
      </c>
      <c r="F172">
        <v>-35</v>
      </c>
      <c r="G172" t="s">
        <v>21</v>
      </c>
      <c r="H172" t="s">
        <v>30</v>
      </c>
      <c r="I172" t="s">
        <v>16</v>
      </c>
      <c r="J172" t="str">
        <f>TEXT(Data[[#This Row],[Date]],"mmm")</f>
        <v>Apr</v>
      </c>
      <c r="K172">
        <f>MONTH(Data[[#This Row],[Date]])</f>
        <v>4</v>
      </c>
      <c r="L172">
        <f>IF(Data[[#This Row],[Category Type]]="Income",Data[[#This Row],[Amount]],0)</f>
        <v>0</v>
      </c>
      <c r="M172">
        <f>IF(Data[[#This Row],[Category Type]]="Expense",-Data[[#This Row],[Amount]],0)</f>
        <v>35</v>
      </c>
    </row>
    <row r="173" spans="1:13" x14ac:dyDescent="0.25">
      <c r="A173" t="s">
        <v>4</v>
      </c>
      <c r="B173" s="1">
        <v>44303</v>
      </c>
      <c r="C173" t="s">
        <v>13</v>
      </c>
      <c r="D173">
        <v>5</v>
      </c>
      <c r="E173">
        <v>0</v>
      </c>
      <c r="F173">
        <v>-5</v>
      </c>
      <c r="G173" t="s">
        <v>14</v>
      </c>
      <c r="H173" t="s">
        <v>15</v>
      </c>
      <c r="I173" t="s">
        <v>16</v>
      </c>
      <c r="J173" t="str">
        <f>TEXT(Data[[#This Row],[Date]],"mmm")</f>
        <v>Apr</v>
      </c>
      <c r="K173">
        <f>MONTH(Data[[#This Row],[Date]])</f>
        <v>4</v>
      </c>
      <c r="L173">
        <f>IF(Data[[#This Row],[Category Type]]="Income",Data[[#This Row],[Amount]],0)</f>
        <v>0</v>
      </c>
      <c r="M173">
        <f>IF(Data[[#This Row],[Category Type]]="Expense",-Data[[#This Row],[Amount]],0)</f>
        <v>5</v>
      </c>
    </row>
    <row r="174" spans="1:13" x14ac:dyDescent="0.25">
      <c r="A174" t="s">
        <v>4</v>
      </c>
      <c r="B174" s="1">
        <v>44304</v>
      </c>
      <c r="C174" t="s">
        <v>13</v>
      </c>
      <c r="D174">
        <v>5</v>
      </c>
      <c r="E174">
        <v>0</v>
      </c>
      <c r="F174">
        <v>-5</v>
      </c>
      <c r="G174" t="s">
        <v>14</v>
      </c>
      <c r="H174" t="s">
        <v>15</v>
      </c>
      <c r="I174" t="s">
        <v>16</v>
      </c>
      <c r="J174" t="str">
        <f>TEXT(Data[[#This Row],[Date]],"mmm")</f>
        <v>Apr</v>
      </c>
      <c r="K174">
        <f>MONTH(Data[[#This Row],[Date]])</f>
        <v>4</v>
      </c>
      <c r="L174">
        <f>IF(Data[[#This Row],[Category Type]]="Income",Data[[#This Row],[Amount]],0)</f>
        <v>0</v>
      </c>
      <c r="M174">
        <f>IF(Data[[#This Row],[Category Type]]="Expense",-Data[[#This Row],[Amount]],0)</f>
        <v>5</v>
      </c>
    </row>
    <row r="175" spans="1:13" x14ac:dyDescent="0.25">
      <c r="A175" t="s">
        <v>4</v>
      </c>
      <c r="B175" s="1">
        <v>44305</v>
      </c>
      <c r="C175" t="s">
        <v>13</v>
      </c>
      <c r="D175">
        <v>5</v>
      </c>
      <c r="E175">
        <v>0</v>
      </c>
      <c r="F175">
        <v>-5</v>
      </c>
      <c r="G175" t="s">
        <v>14</v>
      </c>
      <c r="H175" t="s">
        <v>15</v>
      </c>
      <c r="I175" t="s">
        <v>16</v>
      </c>
      <c r="J175" t="str">
        <f>TEXT(Data[[#This Row],[Date]],"mmm")</f>
        <v>Apr</v>
      </c>
      <c r="K175">
        <f>MONTH(Data[[#This Row],[Date]])</f>
        <v>4</v>
      </c>
      <c r="L175">
        <f>IF(Data[[#This Row],[Category Type]]="Income",Data[[#This Row],[Amount]],0)</f>
        <v>0</v>
      </c>
      <c r="M175">
        <f>IF(Data[[#This Row],[Category Type]]="Expense",-Data[[#This Row],[Amount]],0)</f>
        <v>5</v>
      </c>
    </row>
    <row r="176" spans="1:13" x14ac:dyDescent="0.25">
      <c r="A176" t="s">
        <v>4</v>
      </c>
      <c r="B176" s="1">
        <v>44305</v>
      </c>
      <c r="C176" t="s">
        <v>23</v>
      </c>
      <c r="D176">
        <v>173</v>
      </c>
      <c r="E176">
        <v>0</v>
      </c>
      <c r="F176">
        <v>-173</v>
      </c>
      <c r="G176" t="s">
        <v>24</v>
      </c>
      <c r="H176" t="s">
        <v>19</v>
      </c>
      <c r="I176" t="s">
        <v>16</v>
      </c>
      <c r="J176" t="str">
        <f>TEXT(Data[[#This Row],[Date]],"mmm")</f>
        <v>Apr</v>
      </c>
      <c r="K176">
        <f>MONTH(Data[[#This Row],[Date]])</f>
        <v>4</v>
      </c>
      <c r="L176">
        <f>IF(Data[[#This Row],[Category Type]]="Income",Data[[#This Row],[Amount]],0)</f>
        <v>0</v>
      </c>
      <c r="M176">
        <f>IF(Data[[#This Row],[Category Type]]="Expense",-Data[[#This Row],[Amount]],0)</f>
        <v>173</v>
      </c>
    </row>
    <row r="177" spans="1:13" x14ac:dyDescent="0.25">
      <c r="A177" t="s">
        <v>4</v>
      </c>
      <c r="B177" s="1">
        <v>44306</v>
      </c>
      <c r="C177" t="s">
        <v>47</v>
      </c>
      <c r="D177">
        <v>40.1</v>
      </c>
      <c r="E177">
        <v>0</v>
      </c>
      <c r="F177">
        <v>-40.1</v>
      </c>
      <c r="G177" t="s">
        <v>34</v>
      </c>
      <c r="H177" t="s">
        <v>15</v>
      </c>
      <c r="I177" t="s">
        <v>16</v>
      </c>
      <c r="J177" t="str">
        <f>TEXT(Data[[#This Row],[Date]],"mmm")</f>
        <v>Apr</v>
      </c>
      <c r="K177">
        <f>MONTH(Data[[#This Row],[Date]])</f>
        <v>4</v>
      </c>
      <c r="L177">
        <f>IF(Data[[#This Row],[Category Type]]="Income",Data[[#This Row],[Amount]],0)</f>
        <v>0</v>
      </c>
      <c r="M177">
        <f>IF(Data[[#This Row],[Category Type]]="Expense",-Data[[#This Row],[Amount]],0)</f>
        <v>40.1</v>
      </c>
    </row>
    <row r="178" spans="1:13" x14ac:dyDescent="0.25">
      <c r="A178" t="s">
        <v>4</v>
      </c>
      <c r="B178" s="1">
        <v>44307</v>
      </c>
      <c r="C178" t="s">
        <v>48</v>
      </c>
      <c r="D178">
        <v>15.1</v>
      </c>
      <c r="E178">
        <v>0</v>
      </c>
      <c r="F178">
        <v>-15.1</v>
      </c>
      <c r="G178" t="s">
        <v>34</v>
      </c>
      <c r="H178" t="s">
        <v>15</v>
      </c>
      <c r="I178" t="s">
        <v>16</v>
      </c>
      <c r="J178" t="str">
        <f>TEXT(Data[[#This Row],[Date]],"mmm")</f>
        <v>Apr</v>
      </c>
      <c r="K178">
        <f>MONTH(Data[[#This Row],[Date]])</f>
        <v>4</v>
      </c>
      <c r="L178">
        <f>IF(Data[[#This Row],[Category Type]]="Income",Data[[#This Row],[Amount]],0)</f>
        <v>0</v>
      </c>
      <c r="M178">
        <f>IF(Data[[#This Row],[Category Type]]="Expense",-Data[[#This Row],[Amount]],0)</f>
        <v>15.1</v>
      </c>
    </row>
    <row r="179" spans="1:13" x14ac:dyDescent="0.25">
      <c r="A179" t="s">
        <v>9</v>
      </c>
      <c r="B179" s="1">
        <v>44308</v>
      </c>
      <c r="C179" t="s">
        <v>49</v>
      </c>
      <c r="D179">
        <v>55</v>
      </c>
      <c r="E179">
        <v>0</v>
      </c>
      <c r="F179">
        <v>-55</v>
      </c>
      <c r="G179" t="s">
        <v>50</v>
      </c>
      <c r="H179" t="s">
        <v>51</v>
      </c>
      <c r="I179" t="s">
        <v>16</v>
      </c>
      <c r="J179" t="str">
        <f>TEXT(Data[[#This Row],[Date]],"mmm")</f>
        <v>Apr</v>
      </c>
      <c r="K179">
        <f>MONTH(Data[[#This Row],[Date]])</f>
        <v>4</v>
      </c>
      <c r="L179">
        <f>IF(Data[[#This Row],[Category Type]]="Income",Data[[#This Row],[Amount]],0)</f>
        <v>0</v>
      </c>
      <c r="M179">
        <f>IF(Data[[#This Row],[Category Type]]="Expense",-Data[[#This Row],[Amount]],0)</f>
        <v>55</v>
      </c>
    </row>
    <row r="180" spans="1:13" x14ac:dyDescent="0.25">
      <c r="A180" t="s">
        <v>4</v>
      </c>
      <c r="B180" s="1">
        <v>44308</v>
      </c>
      <c r="C180" t="s">
        <v>27</v>
      </c>
      <c r="D180">
        <v>66</v>
      </c>
      <c r="E180">
        <v>0</v>
      </c>
      <c r="F180">
        <v>-66</v>
      </c>
      <c r="G180" t="s">
        <v>28</v>
      </c>
      <c r="H180" t="s">
        <v>22</v>
      </c>
      <c r="I180" t="s">
        <v>16</v>
      </c>
      <c r="J180" t="str">
        <f>TEXT(Data[[#This Row],[Date]],"mmm")</f>
        <v>Apr</v>
      </c>
      <c r="K180">
        <f>MONTH(Data[[#This Row],[Date]])</f>
        <v>4</v>
      </c>
      <c r="L180">
        <f>IF(Data[[#This Row],[Category Type]]="Income",Data[[#This Row],[Amount]],0)</f>
        <v>0</v>
      </c>
      <c r="M180">
        <f>IF(Data[[#This Row],[Category Type]]="Expense",-Data[[#This Row],[Amount]],0)</f>
        <v>66</v>
      </c>
    </row>
    <row r="181" spans="1:13" x14ac:dyDescent="0.25">
      <c r="A181" t="s">
        <v>4</v>
      </c>
      <c r="B181" s="1">
        <v>44308</v>
      </c>
      <c r="C181" t="s">
        <v>13</v>
      </c>
      <c r="D181">
        <v>5</v>
      </c>
      <c r="E181">
        <v>0</v>
      </c>
      <c r="F181">
        <v>-5</v>
      </c>
      <c r="G181" t="s">
        <v>14</v>
      </c>
      <c r="H181" t="s">
        <v>15</v>
      </c>
      <c r="I181" t="s">
        <v>16</v>
      </c>
      <c r="J181" t="str">
        <f>TEXT(Data[[#This Row],[Date]],"mmm")</f>
        <v>Apr</v>
      </c>
      <c r="K181">
        <f>MONTH(Data[[#This Row],[Date]])</f>
        <v>4</v>
      </c>
      <c r="L181">
        <f>IF(Data[[#This Row],[Category Type]]="Income",Data[[#This Row],[Amount]],0)</f>
        <v>0</v>
      </c>
      <c r="M181">
        <f>IF(Data[[#This Row],[Category Type]]="Expense",-Data[[#This Row],[Amount]],0)</f>
        <v>5</v>
      </c>
    </row>
    <row r="182" spans="1:13" x14ac:dyDescent="0.25">
      <c r="A182" t="s">
        <v>4</v>
      </c>
      <c r="B182" s="1">
        <v>44309</v>
      </c>
      <c r="C182" t="s">
        <v>13</v>
      </c>
      <c r="D182">
        <v>5</v>
      </c>
      <c r="E182">
        <v>0</v>
      </c>
      <c r="F182">
        <v>-5</v>
      </c>
      <c r="G182" t="s">
        <v>14</v>
      </c>
      <c r="H182" t="s">
        <v>15</v>
      </c>
      <c r="I182" t="s">
        <v>16</v>
      </c>
      <c r="J182" t="str">
        <f>TEXT(Data[[#This Row],[Date]],"mmm")</f>
        <v>Apr</v>
      </c>
      <c r="K182">
        <f>MONTH(Data[[#This Row],[Date]])</f>
        <v>4</v>
      </c>
      <c r="L182">
        <f>IF(Data[[#This Row],[Category Type]]="Income",Data[[#This Row],[Amount]],0)</f>
        <v>0</v>
      </c>
      <c r="M182">
        <f>IF(Data[[#This Row],[Category Type]]="Expense",-Data[[#This Row],[Amount]],0)</f>
        <v>5</v>
      </c>
    </row>
    <row r="183" spans="1:13" x14ac:dyDescent="0.25">
      <c r="A183" t="s">
        <v>4</v>
      </c>
      <c r="B183" s="1">
        <v>44310</v>
      </c>
      <c r="C183" t="s">
        <v>13</v>
      </c>
      <c r="D183">
        <v>5</v>
      </c>
      <c r="E183">
        <v>0</v>
      </c>
      <c r="F183">
        <v>-5</v>
      </c>
      <c r="G183" t="s">
        <v>14</v>
      </c>
      <c r="H183" t="s">
        <v>15</v>
      </c>
      <c r="I183" t="s">
        <v>16</v>
      </c>
      <c r="J183" t="str">
        <f>TEXT(Data[[#This Row],[Date]],"mmm")</f>
        <v>Apr</v>
      </c>
      <c r="K183">
        <f>MONTH(Data[[#This Row],[Date]])</f>
        <v>4</v>
      </c>
      <c r="L183">
        <f>IF(Data[[#This Row],[Category Type]]="Income",Data[[#This Row],[Amount]],0)</f>
        <v>0</v>
      </c>
      <c r="M183">
        <f>IF(Data[[#This Row],[Category Type]]="Expense",-Data[[#This Row],[Amount]],0)</f>
        <v>5</v>
      </c>
    </row>
    <row r="184" spans="1:13" x14ac:dyDescent="0.25">
      <c r="A184" t="s">
        <v>4</v>
      </c>
      <c r="B184" s="1">
        <v>44311</v>
      </c>
      <c r="C184" t="s">
        <v>13</v>
      </c>
      <c r="D184">
        <v>5</v>
      </c>
      <c r="E184">
        <v>0</v>
      </c>
      <c r="F184">
        <v>-5</v>
      </c>
      <c r="G184" t="s">
        <v>14</v>
      </c>
      <c r="H184" t="s">
        <v>15</v>
      </c>
      <c r="I184" t="s">
        <v>16</v>
      </c>
      <c r="J184" t="str">
        <f>TEXT(Data[[#This Row],[Date]],"mmm")</f>
        <v>Apr</v>
      </c>
      <c r="K184">
        <f>MONTH(Data[[#This Row],[Date]])</f>
        <v>4</v>
      </c>
      <c r="L184">
        <f>IF(Data[[#This Row],[Category Type]]="Income",Data[[#This Row],[Amount]],0)</f>
        <v>0</v>
      </c>
      <c r="M184">
        <f>IF(Data[[#This Row],[Category Type]]="Expense",-Data[[#This Row],[Amount]],0)</f>
        <v>5</v>
      </c>
    </row>
    <row r="185" spans="1:13" x14ac:dyDescent="0.25">
      <c r="A185" t="s">
        <v>4</v>
      </c>
      <c r="B185" s="1">
        <v>44312</v>
      </c>
      <c r="C185" t="s">
        <v>13</v>
      </c>
      <c r="D185">
        <v>5</v>
      </c>
      <c r="E185">
        <v>0</v>
      </c>
      <c r="F185">
        <v>-5</v>
      </c>
      <c r="G185" t="s">
        <v>14</v>
      </c>
      <c r="H185" t="s">
        <v>15</v>
      </c>
      <c r="I185" t="s">
        <v>16</v>
      </c>
      <c r="J185" t="str">
        <f>TEXT(Data[[#This Row],[Date]],"mmm")</f>
        <v>Apr</v>
      </c>
      <c r="K185">
        <f>MONTH(Data[[#This Row],[Date]])</f>
        <v>4</v>
      </c>
      <c r="L185">
        <f>IF(Data[[#This Row],[Category Type]]="Income",Data[[#This Row],[Amount]],0)</f>
        <v>0</v>
      </c>
      <c r="M185">
        <f>IF(Data[[#This Row],[Category Type]]="Expense",-Data[[#This Row],[Amount]],0)</f>
        <v>5</v>
      </c>
    </row>
    <row r="186" spans="1:13" x14ac:dyDescent="0.25">
      <c r="A186" t="s">
        <v>4</v>
      </c>
      <c r="B186" s="1">
        <v>44312</v>
      </c>
      <c r="C186" t="s">
        <v>23</v>
      </c>
      <c r="D186">
        <v>164.9</v>
      </c>
      <c r="E186">
        <v>0</v>
      </c>
      <c r="F186">
        <v>-164.9</v>
      </c>
      <c r="G186" t="s">
        <v>24</v>
      </c>
      <c r="H186" t="s">
        <v>19</v>
      </c>
      <c r="I186" t="s">
        <v>16</v>
      </c>
      <c r="J186" t="str">
        <f>TEXT(Data[[#This Row],[Date]],"mmm")</f>
        <v>Apr</v>
      </c>
      <c r="K186">
        <f>MONTH(Data[[#This Row],[Date]])</f>
        <v>4</v>
      </c>
      <c r="L186">
        <f>IF(Data[[#This Row],[Category Type]]="Income",Data[[#This Row],[Amount]],0)</f>
        <v>0</v>
      </c>
      <c r="M186">
        <f>IF(Data[[#This Row],[Category Type]]="Expense",-Data[[#This Row],[Amount]],0)</f>
        <v>164.9</v>
      </c>
    </row>
    <row r="187" spans="1:13" x14ac:dyDescent="0.25">
      <c r="A187" t="s">
        <v>4</v>
      </c>
      <c r="B187" s="1">
        <v>44313</v>
      </c>
      <c r="C187" t="s">
        <v>52</v>
      </c>
      <c r="D187">
        <v>127.9</v>
      </c>
      <c r="E187">
        <v>0</v>
      </c>
      <c r="F187">
        <v>-127.9</v>
      </c>
      <c r="G187" t="s">
        <v>32</v>
      </c>
      <c r="H187" t="s">
        <v>30</v>
      </c>
      <c r="I187" t="s">
        <v>16</v>
      </c>
      <c r="J187" t="str">
        <f>TEXT(Data[[#This Row],[Date]],"mmm")</f>
        <v>Apr</v>
      </c>
      <c r="K187">
        <f>MONTH(Data[[#This Row],[Date]])</f>
        <v>4</v>
      </c>
      <c r="L187">
        <f>IF(Data[[#This Row],[Category Type]]="Income",Data[[#This Row],[Amount]],0)</f>
        <v>0</v>
      </c>
      <c r="M187">
        <f>IF(Data[[#This Row],[Category Type]]="Expense",-Data[[#This Row],[Amount]],0)</f>
        <v>127.9</v>
      </c>
    </row>
    <row r="188" spans="1:13" x14ac:dyDescent="0.25">
      <c r="A188" t="s">
        <v>4</v>
      </c>
      <c r="B188" s="1">
        <v>44313</v>
      </c>
      <c r="C188" t="s">
        <v>58</v>
      </c>
      <c r="D188">
        <v>300</v>
      </c>
      <c r="E188">
        <v>0</v>
      </c>
      <c r="F188">
        <v>-300</v>
      </c>
      <c r="G188" t="s">
        <v>21</v>
      </c>
      <c r="H188" t="s">
        <v>30</v>
      </c>
      <c r="I188" t="s">
        <v>16</v>
      </c>
      <c r="J188" t="str">
        <f>TEXT(Data[[#This Row],[Date]],"mmm")</f>
        <v>Apr</v>
      </c>
      <c r="K188">
        <f>MONTH(Data[[#This Row],[Date]])</f>
        <v>4</v>
      </c>
      <c r="L188">
        <f>IF(Data[[#This Row],[Category Type]]="Income",Data[[#This Row],[Amount]],0)</f>
        <v>0</v>
      </c>
      <c r="M188">
        <f>IF(Data[[#This Row],[Category Type]]="Expense",-Data[[#This Row],[Amount]],0)</f>
        <v>300</v>
      </c>
    </row>
    <row r="189" spans="1:13" x14ac:dyDescent="0.25">
      <c r="A189" t="s">
        <v>4</v>
      </c>
      <c r="B189" s="1">
        <v>44314</v>
      </c>
      <c r="C189" t="s">
        <v>31</v>
      </c>
      <c r="D189">
        <v>148.1</v>
      </c>
      <c r="E189">
        <v>0</v>
      </c>
      <c r="F189">
        <v>-148.1</v>
      </c>
      <c r="G189" t="s">
        <v>32</v>
      </c>
      <c r="H189" t="s">
        <v>30</v>
      </c>
      <c r="I189" t="s">
        <v>16</v>
      </c>
      <c r="J189" t="str">
        <f>TEXT(Data[[#This Row],[Date]],"mmm")</f>
        <v>Apr</v>
      </c>
      <c r="K189">
        <f>MONTH(Data[[#This Row],[Date]])</f>
        <v>4</v>
      </c>
      <c r="L189">
        <f>IF(Data[[#This Row],[Category Type]]="Income",Data[[#This Row],[Amount]],0)</f>
        <v>0</v>
      </c>
      <c r="M189">
        <f>IF(Data[[#This Row],[Category Type]]="Expense",-Data[[#This Row],[Amount]],0)</f>
        <v>148.1</v>
      </c>
    </row>
    <row r="190" spans="1:13" x14ac:dyDescent="0.25">
      <c r="A190" t="s">
        <v>4</v>
      </c>
      <c r="B190" s="1">
        <v>44314</v>
      </c>
      <c r="C190" t="s">
        <v>35</v>
      </c>
      <c r="D190">
        <v>26.1</v>
      </c>
      <c r="E190">
        <v>0</v>
      </c>
      <c r="F190">
        <v>-26.1</v>
      </c>
      <c r="G190" t="s">
        <v>36</v>
      </c>
      <c r="H190" t="s">
        <v>22</v>
      </c>
      <c r="I190" t="s">
        <v>16</v>
      </c>
      <c r="J190" t="str">
        <f>TEXT(Data[[#This Row],[Date]],"mmm")</f>
        <v>Apr</v>
      </c>
      <c r="K190">
        <f>MONTH(Data[[#This Row],[Date]])</f>
        <v>4</v>
      </c>
      <c r="L190">
        <f>IF(Data[[#This Row],[Category Type]]="Income",Data[[#This Row],[Amount]],0)</f>
        <v>0</v>
      </c>
      <c r="M190">
        <f>IF(Data[[#This Row],[Category Type]]="Expense",-Data[[#This Row],[Amount]],0)</f>
        <v>26.1</v>
      </c>
    </row>
    <row r="191" spans="1:13" x14ac:dyDescent="0.25">
      <c r="A191" t="s">
        <v>4</v>
      </c>
      <c r="B191" s="1">
        <v>44315</v>
      </c>
      <c r="C191" t="s">
        <v>57</v>
      </c>
      <c r="D191">
        <v>15</v>
      </c>
      <c r="E191">
        <v>0</v>
      </c>
      <c r="F191">
        <v>-15</v>
      </c>
      <c r="G191" t="s">
        <v>34</v>
      </c>
      <c r="H191" t="s">
        <v>15</v>
      </c>
      <c r="I191" t="s">
        <v>16</v>
      </c>
      <c r="J191" t="str">
        <f>TEXT(Data[[#This Row],[Date]],"mmm")</f>
        <v>Apr</v>
      </c>
      <c r="K191">
        <f>MONTH(Data[[#This Row],[Date]])</f>
        <v>4</v>
      </c>
      <c r="L191">
        <f>IF(Data[[#This Row],[Category Type]]="Income",Data[[#This Row],[Amount]],0)</f>
        <v>0</v>
      </c>
      <c r="M191">
        <f>IF(Data[[#This Row],[Category Type]]="Expense",-Data[[#This Row],[Amount]],0)</f>
        <v>15</v>
      </c>
    </row>
    <row r="192" spans="1:13" x14ac:dyDescent="0.25">
      <c r="A192" t="s">
        <v>4</v>
      </c>
      <c r="B192" s="1">
        <v>44315</v>
      </c>
      <c r="C192" t="s">
        <v>13</v>
      </c>
      <c r="D192">
        <v>5</v>
      </c>
      <c r="E192">
        <v>0</v>
      </c>
      <c r="F192">
        <v>-5</v>
      </c>
      <c r="G192" t="s">
        <v>14</v>
      </c>
      <c r="H192" t="s">
        <v>15</v>
      </c>
      <c r="I192" t="s">
        <v>16</v>
      </c>
      <c r="J192" t="str">
        <f>TEXT(Data[[#This Row],[Date]],"mmm")</f>
        <v>Apr</v>
      </c>
      <c r="K192">
        <f>MONTH(Data[[#This Row],[Date]])</f>
        <v>4</v>
      </c>
      <c r="L192">
        <f>IF(Data[[#This Row],[Category Type]]="Income",Data[[#This Row],[Amount]],0)</f>
        <v>0</v>
      </c>
      <c r="M192">
        <f>IF(Data[[#This Row],[Category Type]]="Expense",-Data[[#This Row],[Amount]],0)</f>
        <v>5</v>
      </c>
    </row>
    <row r="193" spans="1:13" x14ac:dyDescent="0.25">
      <c r="A193" t="s">
        <v>4</v>
      </c>
      <c r="B193" s="1">
        <v>44316</v>
      </c>
      <c r="C193" t="s">
        <v>13</v>
      </c>
      <c r="D193">
        <v>5</v>
      </c>
      <c r="E193">
        <v>0</v>
      </c>
      <c r="F193">
        <v>-5</v>
      </c>
      <c r="G193" t="s">
        <v>14</v>
      </c>
      <c r="H193" t="s">
        <v>15</v>
      </c>
      <c r="I193" t="s">
        <v>16</v>
      </c>
      <c r="J193" t="str">
        <f>TEXT(Data[[#This Row],[Date]],"mmm")</f>
        <v>Apr</v>
      </c>
      <c r="K193">
        <f>MONTH(Data[[#This Row],[Date]])</f>
        <v>4</v>
      </c>
      <c r="L193">
        <f>IF(Data[[#This Row],[Category Type]]="Income",Data[[#This Row],[Amount]],0)</f>
        <v>0</v>
      </c>
      <c r="M193">
        <f>IF(Data[[#This Row],[Category Type]]="Expense",-Data[[#This Row],[Amount]],0)</f>
        <v>5</v>
      </c>
    </row>
    <row r="194" spans="1:13" x14ac:dyDescent="0.25">
      <c r="A194" t="s">
        <v>4</v>
      </c>
      <c r="B194" s="1">
        <v>44318</v>
      </c>
      <c r="C194" t="s">
        <v>13</v>
      </c>
      <c r="D194">
        <v>5</v>
      </c>
      <c r="E194">
        <v>0</v>
      </c>
      <c r="F194">
        <v>-5</v>
      </c>
      <c r="G194" t="s">
        <v>14</v>
      </c>
      <c r="H194" t="s">
        <v>15</v>
      </c>
      <c r="I194" t="s">
        <v>16</v>
      </c>
      <c r="J194" t="str">
        <f>TEXT(Data[[#This Row],[Date]],"mmm")</f>
        <v>May</v>
      </c>
      <c r="K194">
        <f>MONTH(Data[[#This Row],[Date]])</f>
        <v>5</v>
      </c>
      <c r="L194">
        <f>IF(Data[[#This Row],[Category Type]]="Income",Data[[#This Row],[Amount]],0)</f>
        <v>0</v>
      </c>
      <c r="M194">
        <f>IF(Data[[#This Row],[Category Type]]="Expense",-Data[[#This Row],[Amount]],0)</f>
        <v>5</v>
      </c>
    </row>
    <row r="195" spans="1:13" x14ac:dyDescent="0.25">
      <c r="A195" t="s">
        <v>9</v>
      </c>
      <c r="B195" s="1">
        <v>44319</v>
      </c>
      <c r="C195" t="s">
        <v>10</v>
      </c>
      <c r="D195">
        <v>0</v>
      </c>
      <c r="E195">
        <v>4000</v>
      </c>
      <c r="F195">
        <v>4000</v>
      </c>
      <c r="G195" t="s">
        <v>11</v>
      </c>
      <c r="H195" t="s">
        <v>11</v>
      </c>
      <c r="I195" t="s">
        <v>12</v>
      </c>
      <c r="J195" t="str">
        <f>TEXT(Data[[#This Row],[Date]],"mmm")</f>
        <v>May</v>
      </c>
      <c r="K195">
        <f>MONTH(Data[[#This Row],[Date]])</f>
        <v>5</v>
      </c>
      <c r="L195">
        <f>IF(Data[[#This Row],[Category Type]]="Income",Data[[#This Row],[Amount]],0)</f>
        <v>4000</v>
      </c>
      <c r="M195">
        <f>IF(Data[[#This Row],[Category Type]]="Expense",-Data[[#This Row],[Amount]],0)</f>
        <v>0</v>
      </c>
    </row>
    <row r="196" spans="1:13" x14ac:dyDescent="0.25">
      <c r="A196" t="s">
        <v>9</v>
      </c>
      <c r="B196" s="1">
        <v>44319</v>
      </c>
      <c r="C196" t="s">
        <v>17</v>
      </c>
      <c r="D196">
        <v>900</v>
      </c>
      <c r="E196">
        <v>0</v>
      </c>
      <c r="F196">
        <v>-900</v>
      </c>
      <c r="G196" t="s">
        <v>18</v>
      </c>
      <c r="H196" t="s">
        <v>19</v>
      </c>
      <c r="I196" t="s">
        <v>16</v>
      </c>
      <c r="J196" t="str">
        <f>TEXT(Data[[#This Row],[Date]],"mmm")</f>
        <v>May</v>
      </c>
      <c r="K196">
        <f>MONTH(Data[[#This Row],[Date]])</f>
        <v>5</v>
      </c>
      <c r="L196">
        <f>IF(Data[[#This Row],[Category Type]]="Income",Data[[#This Row],[Amount]],0)</f>
        <v>0</v>
      </c>
      <c r="M196">
        <f>IF(Data[[#This Row],[Category Type]]="Expense",-Data[[#This Row],[Amount]],0)</f>
        <v>900</v>
      </c>
    </row>
    <row r="197" spans="1:13" x14ac:dyDescent="0.25">
      <c r="A197" t="s">
        <v>9</v>
      </c>
      <c r="B197" s="1">
        <v>44319</v>
      </c>
      <c r="C197" t="s">
        <v>20</v>
      </c>
      <c r="D197">
        <v>150</v>
      </c>
      <c r="E197">
        <v>0</v>
      </c>
      <c r="F197">
        <v>-150</v>
      </c>
      <c r="G197" t="s">
        <v>21</v>
      </c>
      <c r="H197" t="s">
        <v>22</v>
      </c>
      <c r="I197" t="s">
        <v>16</v>
      </c>
      <c r="J197" t="str">
        <f>TEXT(Data[[#This Row],[Date]],"mmm")</f>
        <v>May</v>
      </c>
      <c r="K197">
        <f>MONTH(Data[[#This Row],[Date]])</f>
        <v>5</v>
      </c>
      <c r="L197">
        <f>IF(Data[[#This Row],[Category Type]]="Income",Data[[#This Row],[Amount]],0)</f>
        <v>0</v>
      </c>
      <c r="M197">
        <f>IF(Data[[#This Row],[Category Type]]="Expense",-Data[[#This Row],[Amount]],0)</f>
        <v>150</v>
      </c>
    </row>
    <row r="198" spans="1:13" x14ac:dyDescent="0.25">
      <c r="A198" t="s">
        <v>4</v>
      </c>
      <c r="B198" s="1">
        <v>44319</v>
      </c>
      <c r="C198" t="s">
        <v>13</v>
      </c>
      <c r="D198">
        <v>5</v>
      </c>
      <c r="E198">
        <v>0</v>
      </c>
      <c r="F198">
        <v>-5</v>
      </c>
      <c r="G198" t="s">
        <v>14</v>
      </c>
      <c r="H198" t="s">
        <v>15</v>
      </c>
      <c r="I198" t="s">
        <v>16</v>
      </c>
      <c r="J198" t="str">
        <f>TEXT(Data[[#This Row],[Date]],"mmm")</f>
        <v>May</v>
      </c>
      <c r="K198">
        <f>MONTH(Data[[#This Row],[Date]])</f>
        <v>5</v>
      </c>
      <c r="L198">
        <f>IF(Data[[#This Row],[Category Type]]="Income",Data[[#This Row],[Amount]],0)</f>
        <v>0</v>
      </c>
      <c r="M198">
        <f>IF(Data[[#This Row],[Category Type]]="Expense",-Data[[#This Row],[Amount]],0)</f>
        <v>5</v>
      </c>
    </row>
    <row r="199" spans="1:13" x14ac:dyDescent="0.25">
      <c r="A199" t="s">
        <v>4</v>
      </c>
      <c r="B199" s="1">
        <v>44320</v>
      </c>
      <c r="C199" t="s">
        <v>13</v>
      </c>
      <c r="D199">
        <v>5</v>
      </c>
      <c r="E199">
        <v>0</v>
      </c>
      <c r="F199">
        <v>-5</v>
      </c>
      <c r="G199" t="s">
        <v>14</v>
      </c>
      <c r="H199" t="s">
        <v>15</v>
      </c>
      <c r="I199" t="s">
        <v>16</v>
      </c>
      <c r="J199" t="str">
        <f>TEXT(Data[[#This Row],[Date]],"mmm")</f>
        <v>May</v>
      </c>
      <c r="K199">
        <f>MONTH(Data[[#This Row],[Date]])</f>
        <v>5</v>
      </c>
      <c r="L199">
        <f>IF(Data[[#This Row],[Category Type]]="Income",Data[[#This Row],[Amount]],0)</f>
        <v>0</v>
      </c>
      <c r="M199">
        <f>IF(Data[[#This Row],[Category Type]]="Expense",-Data[[#This Row],[Amount]],0)</f>
        <v>5</v>
      </c>
    </row>
    <row r="200" spans="1:13" x14ac:dyDescent="0.25">
      <c r="A200" t="s">
        <v>4</v>
      </c>
      <c r="B200" s="1">
        <v>44321</v>
      </c>
      <c r="C200" t="s">
        <v>13</v>
      </c>
      <c r="D200">
        <v>5</v>
      </c>
      <c r="E200">
        <v>0</v>
      </c>
      <c r="F200">
        <v>-5</v>
      </c>
      <c r="G200" t="s">
        <v>14</v>
      </c>
      <c r="H200" t="s">
        <v>15</v>
      </c>
      <c r="I200" t="s">
        <v>16</v>
      </c>
      <c r="J200" t="str">
        <f>TEXT(Data[[#This Row],[Date]],"mmm")</f>
        <v>May</v>
      </c>
      <c r="K200">
        <f>MONTH(Data[[#This Row],[Date]])</f>
        <v>5</v>
      </c>
      <c r="L200">
        <f>IF(Data[[#This Row],[Category Type]]="Income",Data[[#This Row],[Amount]],0)</f>
        <v>0</v>
      </c>
      <c r="M200">
        <f>IF(Data[[#This Row],[Category Type]]="Expense",-Data[[#This Row],[Amount]],0)</f>
        <v>5</v>
      </c>
    </row>
    <row r="201" spans="1:13" x14ac:dyDescent="0.25">
      <c r="A201" t="s">
        <v>4</v>
      </c>
      <c r="B201" s="1">
        <v>44322</v>
      </c>
      <c r="C201" t="s">
        <v>13</v>
      </c>
      <c r="D201">
        <v>5</v>
      </c>
      <c r="E201">
        <v>0</v>
      </c>
      <c r="F201">
        <v>-5</v>
      </c>
      <c r="G201" t="s">
        <v>14</v>
      </c>
      <c r="H201" t="s">
        <v>15</v>
      </c>
      <c r="I201" t="s">
        <v>16</v>
      </c>
      <c r="J201" t="str">
        <f>TEXT(Data[[#This Row],[Date]],"mmm")</f>
        <v>May</v>
      </c>
      <c r="K201">
        <f>MONTH(Data[[#This Row],[Date]])</f>
        <v>5</v>
      </c>
      <c r="L201">
        <f>IF(Data[[#This Row],[Category Type]]="Income",Data[[#This Row],[Amount]],0)</f>
        <v>0</v>
      </c>
      <c r="M201">
        <f>IF(Data[[#This Row],[Category Type]]="Expense",-Data[[#This Row],[Amount]],0)</f>
        <v>5</v>
      </c>
    </row>
    <row r="202" spans="1:13" x14ac:dyDescent="0.25">
      <c r="A202" t="s">
        <v>4</v>
      </c>
      <c r="B202" s="1">
        <v>44322</v>
      </c>
      <c r="C202" t="s">
        <v>23</v>
      </c>
      <c r="D202">
        <v>170</v>
      </c>
      <c r="E202">
        <v>0</v>
      </c>
      <c r="F202">
        <v>-170</v>
      </c>
      <c r="G202" t="s">
        <v>24</v>
      </c>
      <c r="H202" t="s">
        <v>19</v>
      </c>
      <c r="I202" t="s">
        <v>16</v>
      </c>
      <c r="J202" t="str">
        <f>TEXT(Data[[#This Row],[Date]],"mmm")</f>
        <v>May</v>
      </c>
      <c r="K202">
        <f>MONTH(Data[[#This Row],[Date]])</f>
        <v>5</v>
      </c>
      <c r="L202">
        <f>IF(Data[[#This Row],[Category Type]]="Income",Data[[#This Row],[Amount]],0)</f>
        <v>0</v>
      </c>
      <c r="M202">
        <f>IF(Data[[#This Row],[Category Type]]="Expense",-Data[[#This Row],[Amount]],0)</f>
        <v>170</v>
      </c>
    </row>
    <row r="203" spans="1:13" x14ac:dyDescent="0.25">
      <c r="A203" t="s">
        <v>9</v>
      </c>
      <c r="B203" s="1">
        <v>44325</v>
      </c>
      <c r="C203" t="s">
        <v>25</v>
      </c>
      <c r="D203">
        <v>54.1</v>
      </c>
      <c r="E203">
        <v>0</v>
      </c>
      <c r="F203">
        <v>-54.1</v>
      </c>
      <c r="G203" t="s">
        <v>26</v>
      </c>
      <c r="H203" t="s">
        <v>19</v>
      </c>
      <c r="I203" t="s">
        <v>16</v>
      </c>
      <c r="J203" t="str">
        <f>TEXT(Data[[#This Row],[Date]],"mmm")</f>
        <v>May</v>
      </c>
      <c r="K203">
        <f>MONTH(Data[[#This Row],[Date]])</f>
        <v>5</v>
      </c>
      <c r="L203">
        <f>IF(Data[[#This Row],[Category Type]]="Income",Data[[#This Row],[Amount]],0)</f>
        <v>0</v>
      </c>
      <c r="M203">
        <f>IF(Data[[#This Row],[Category Type]]="Expense",-Data[[#This Row],[Amount]],0)</f>
        <v>54.1</v>
      </c>
    </row>
    <row r="204" spans="1:13" x14ac:dyDescent="0.25">
      <c r="A204" t="s">
        <v>4</v>
      </c>
      <c r="B204" s="1">
        <v>44325</v>
      </c>
      <c r="C204" t="s">
        <v>13</v>
      </c>
      <c r="D204">
        <v>5</v>
      </c>
      <c r="E204">
        <v>0</v>
      </c>
      <c r="F204">
        <v>-5</v>
      </c>
      <c r="G204" t="s">
        <v>14</v>
      </c>
      <c r="H204" t="s">
        <v>15</v>
      </c>
      <c r="I204" t="s">
        <v>16</v>
      </c>
      <c r="J204" t="str">
        <f>TEXT(Data[[#This Row],[Date]],"mmm")</f>
        <v>May</v>
      </c>
      <c r="K204">
        <f>MONTH(Data[[#This Row],[Date]])</f>
        <v>5</v>
      </c>
      <c r="L204">
        <f>IF(Data[[#This Row],[Category Type]]="Income",Data[[#This Row],[Amount]],0)</f>
        <v>0</v>
      </c>
      <c r="M204">
        <f>IF(Data[[#This Row],[Category Type]]="Expense",-Data[[#This Row],[Amount]],0)</f>
        <v>5</v>
      </c>
    </row>
    <row r="205" spans="1:13" x14ac:dyDescent="0.25">
      <c r="A205" t="s">
        <v>4</v>
      </c>
      <c r="B205" s="1">
        <v>44326</v>
      </c>
      <c r="C205" t="s">
        <v>13</v>
      </c>
      <c r="D205">
        <v>5</v>
      </c>
      <c r="E205">
        <v>0</v>
      </c>
      <c r="F205">
        <v>-5</v>
      </c>
      <c r="G205" t="s">
        <v>14</v>
      </c>
      <c r="H205" t="s">
        <v>15</v>
      </c>
      <c r="I205" t="s">
        <v>16</v>
      </c>
      <c r="J205" t="str">
        <f>TEXT(Data[[#This Row],[Date]],"mmm")</f>
        <v>May</v>
      </c>
      <c r="K205">
        <f>MONTH(Data[[#This Row],[Date]])</f>
        <v>5</v>
      </c>
      <c r="L205">
        <f>IF(Data[[#This Row],[Category Type]]="Income",Data[[#This Row],[Amount]],0)</f>
        <v>0</v>
      </c>
      <c r="M205">
        <f>IF(Data[[#This Row],[Category Type]]="Expense",-Data[[#This Row],[Amount]],0)</f>
        <v>5</v>
      </c>
    </row>
    <row r="206" spans="1:13" x14ac:dyDescent="0.25">
      <c r="A206" t="s">
        <v>4</v>
      </c>
      <c r="B206" s="1">
        <v>44327</v>
      </c>
      <c r="C206" t="s">
        <v>27</v>
      </c>
      <c r="D206">
        <v>81</v>
      </c>
      <c r="E206">
        <v>0</v>
      </c>
      <c r="F206">
        <v>-81</v>
      </c>
      <c r="G206" t="s">
        <v>28</v>
      </c>
      <c r="H206" t="s">
        <v>22</v>
      </c>
      <c r="I206" t="s">
        <v>16</v>
      </c>
      <c r="J206" t="str">
        <f>TEXT(Data[[#This Row],[Date]],"mmm")</f>
        <v>May</v>
      </c>
      <c r="K206">
        <f>MONTH(Data[[#This Row],[Date]])</f>
        <v>5</v>
      </c>
      <c r="L206">
        <f>IF(Data[[#This Row],[Category Type]]="Income",Data[[#This Row],[Amount]],0)</f>
        <v>0</v>
      </c>
      <c r="M206">
        <f>IF(Data[[#This Row],[Category Type]]="Expense",-Data[[#This Row],[Amount]],0)</f>
        <v>81</v>
      </c>
    </row>
    <row r="207" spans="1:13" x14ac:dyDescent="0.25">
      <c r="A207" t="s">
        <v>4</v>
      </c>
      <c r="B207" s="1">
        <v>44327</v>
      </c>
      <c r="C207" t="s">
        <v>13</v>
      </c>
      <c r="D207">
        <v>5</v>
      </c>
      <c r="E207">
        <v>0</v>
      </c>
      <c r="F207">
        <v>-5</v>
      </c>
      <c r="G207" t="s">
        <v>14</v>
      </c>
      <c r="H207" t="s">
        <v>15</v>
      </c>
      <c r="I207" t="s">
        <v>16</v>
      </c>
      <c r="J207" t="str">
        <f>TEXT(Data[[#This Row],[Date]],"mmm")</f>
        <v>May</v>
      </c>
      <c r="K207">
        <f>MONTH(Data[[#This Row],[Date]])</f>
        <v>5</v>
      </c>
      <c r="L207">
        <f>IF(Data[[#This Row],[Category Type]]="Income",Data[[#This Row],[Amount]],0)</f>
        <v>0</v>
      </c>
      <c r="M207">
        <f>IF(Data[[#This Row],[Category Type]]="Expense",-Data[[#This Row],[Amount]],0)</f>
        <v>5</v>
      </c>
    </row>
    <row r="208" spans="1:13" x14ac:dyDescent="0.25">
      <c r="A208" t="s">
        <v>4</v>
      </c>
      <c r="B208" s="1">
        <v>44328</v>
      </c>
      <c r="C208" t="s">
        <v>13</v>
      </c>
      <c r="D208">
        <v>5</v>
      </c>
      <c r="E208">
        <v>0</v>
      </c>
      <c r="F208">
        <v>-5</v>
      </c>
      <c r="G208" t="s">
        <v>14</v>
      </c>
      <c r="H208" t="s">
        <v>15</v>
      </c>
      <c r="I208" t="s">
        <v>16</v>
      </c>
      <c r="J208" t="str">
        <f>TEXT(Data[[#This Row],[Date]],"mmm")</f>
        <v>May</v>
      </c>
      <c r="K208">
        <f>MONTH(Data[[#This Row],[Date]])</f>
        <v>5</v>
      </c>
      <c r="L208">
        <f>IF(Data[[#This Row],[Category Type]]="Income",Data[[#This Row],[Amount]],0)</f>
        <v>0</v>
      </c>
      <c r="M208">
        <f>IF(Data[[#This Row],[Category Type]]="Expense",-Data[[#This Row],[Amount]],0)</f>
        <v>5</v>
      </c>
    </row>
    <row r="209" spans="1:13" x14ac:dyDescent="0.25">
      <c r="A209" t="s">
        <v>4</v>
      </c>
      <c r="B209" s="1">
        <v>44329</v>
      </c>
      <c r="C209" t="s">
        <v>23</v>
      </c>
      <c r="D209">
        <v>139.1</v>
      </c>
      <c r="E209">
        <v>0</v>
      </c>
      <c r="F209">
        <v>-139.1</v>
      </c>
      <c r="G209" t="s">
        <v>24</v>
      </c>
      <c r="H209" t="s">
        <v>19</v>
      </c>
      <c r="I209" t="s">
        <v>16</v>
      </c>
      <c r="J209" t="str">
        <f>TEXT(Data[[#This Row],[Date]],"mmm")</f>
        <v>May</v>
      </c>
      <c r="K209">
        <f>MONTH(Data[[#This Row],[Date]])</f>
        <v>5</v>
      </c>
      <c r="L209">
        <f>IF(Data[[#This Row],[Category Type]]="Income",Data[[#This Row],[Amount]],0)</f>
        <v>0</v>
      </c>
      <c r="M209">
        <f>IF(Data[[#This Row],[Category Type]]="Expense",-Data[[#This Row],[Amount]],0)</f>
        <v>139.1</v>
      </c>
    </row>
    <row r="210" spans="1:13" x14ac:dyDescent="0.25">
      <c r="A210" t="s">
        <v>4</v>
      </c>
      <c r="B210" s="1">
        <v>44329</v>
      </c>
      <c r="C210" t="s">
        <v>13</v>
      </c>
      <c r="D210">
        <v>5</v>
      </c>
      <c r="E210">
        <v>0</v>
      </c>
      <c r="F210">
        <v>-5</v>
      </c>
      <c r="G210" t="s">
        <v>14</v>
      </c>
      <c r="H210" t="s">
        <v>15</v>
      </c>
      <c r="I210" t="s">
        <v>16</v>
      </c>
      <c r="J210" t="str">
        <f>TEXT(Data[[#This Row],[Date]],"mmm")</f>
        <v>May</v>
      </c>
      <c r="K210">
        <f>MONTH(Data[[#This Row],[Date]])</f>
        <v>5</v>
      </c>
      <c r="L210">
        <f>IF(Data[[#This Row],[Category Type]]="Income",Data[[#This Row],[Amount]],0)</f>
        <v>0</v>
      </c>
      <c r="M210">
        <f>IF(Data[[#This Row],[Category Type]]="Expense",-Data[[#This Row],[Amount]],0)</f>
        <v>5</v>
      </c>
    </row>
    <row r="211" spans="1:13" x14ac:dyDescent="0.25">
      <c r="A211" t="s">
        <v>4</v>
      </c>
      <c r="B211" s="1">
        <v>44330</v>
      </c>
      <c r="C211" t="s">
        <v>13</v>
      </c>
      <c r="D211">
        <v>5</v>
      </c>
      <c r="E211">
        <v>0</v>
      </c>
      <c r="F211">
        <v>-5</v>
      </c>
      <c r="G211" t="s">
        <v>14</v>
      </c>
      <c r="H211" t="s">
        <v>15</v>
      </c>
      <c r="I211" t="s">
        <v>16</v>
      </c>
      <c r="J211" t="str">
        <f>TEXT(Data[[#This Row],[Date]],"mmm")</f>
        <v>May</v>
      </c>
      <c r="K211">
        <f>MONTH(Data[[#This Row],[Date]])</f>
        <v>5</v>
      </c>
      <c r="L211">
        <f>IF(Data[[#This Row],[Category Type]]="Income",Data[[#This Row],[Amount]],0)</f>
        <v>0</v>
      </c>
      <c r="M211">
        <f>IF(Data[[#This Row],[Category Type]]="Expense",-Data[[#This Row],[Amount]],0)</f>
        <v>5</v>
      </c>
    </row>
    <row r="212" spans="1:13" x14ac:dyDescent="0.25">
      <c r="A212" t="s">
        <v>4</v>
      </c>
      <c r="B212" s="1">
        <v>44330</v>
      </c>
      <c r="C212" t="s">
        <v>29</v>
      </c>
      <c r="D212">
        <v>43.9</v>
      </c>
      <c r="E212">
        <v>0</v>
      </c>
      <c r="F212">
        <v>-43.9</v>
      </c>
      <c r="G212" t="s">
        <v>21</v>
      </c>
      <c r="H212" t="s">
        <v>30</v>
      </c>
      <c r="I212" t="s">
        <v>16</v>
      </c>
      <c r="J212" t="str">
        <f>TEXT(Data[[#This Row],[Date]],"mmm")</f>
        <v>May</v>
      </c>
      <c r="K212">
        <f>MONTH(Data[[#This Row],[Date]])</f>
        <v>5</v>
      </c>
      <c r="L212">
        <f>IF(Data[[#This Row],[Category Type]]="Income",Data[[#This Row],[Amount]],0)</f>
        <v>0</v>
      </c>
      <c r="M212">
        <f>IF(Data[[#This Row],[Category Type]]="Expense",-Data[[#This Row],[Amount]],0)</f>
        <v>43.9</v>
      </c>
    </row>
    <row r="213" spans="1:13" x14ac:dyDescent="0.25">
      <c r="A213" t="s">
        <v>4</v>
      </c>
      <c r="B213" s="1">
        <v>44330</v>
      </c>
      <c r="C213" t="s">
        <v>31</v>
      </c>
      <c r="D213">
        <v>101.80000000000001</v>
      </c>
      <c r="E213">
        <v>0</v>
      </c>
      <c r="F213">
        <v>-101.80000000000001</v>
      </c>
      <c r="G213" t="s">
        <v>32</v>
      </c>
      <c r="H213" t="s">
        <v>30</v>
      </c>
      <c r="I213" t="s">
        <v>16</v>
      </c>
      <c r="J213" t="str">
        <f>TEXT(Data[[#This Row],[Date]],"mmm")</f>
        <v>May</v>
      </c>
      <c r="K213">
        <f>MONTH(Data[[#This Row],[Date]])</f>
        <v>5</v>
      </c>
      <c r="L213">
        <f>IF(Data[[#This Row],[Category Type]]="Income",Data[[#This Row],[Amount]],0)</f>
        <v>0</v>
      </c>
      <c r="M213">
        <f>IF(Data[[#This Row],[Category Type]]="Expense",-Data[[#This Row],[Amount]],0)</f>
        <v>101.80000000000001</v>
      </c>
    </row>
    <row r="214" spans="1:13" x14ac:dyDescent="0.25">
      <c r="A214" t="s">
        <v>4</v>
      </c>
      <c r="B214" s="1">
        <v>44330</v>
      </c>
      <c r="C214" t="s">
        <v>33</v>
      </c>
      <c r="D214">
        <v>55.9</v>
      </c>
      <c r="E214">
        <v>0</v>
      </c>
      <c r="F214">
        <v>-55.9</v>
      </c>
      <c r="G214" t="s">
        <v>34</v>
      </c>
      <c r="H214" t="s">
        <v>15</v>
      </c>
      <c r="I214" t="s">
        <v>16</v>
      </c>
      <c r="J214" t="str">
        <f>TEXT(Data[[#This Row],[Date]],"mmm")</f>
        <v>May</v>
      </c>
      <c r="K214">
        <f>MONTH(Data[[#This Row],[Date]])</f>
        <v>5</v>
      </c>
      <c r="L214">
        <f>IF(Data[[#This Row],[Category Type]]="Income",Data[[#This Row],[Amount]],0)</f>
        <v>0</v>
      </c>
      <c r="M214">
        <f>IF(Data[[#This Row],[Category Type]]="Expense",-Data[[#This Row],[Amount]],0)</f>
        <v>55.9</v>
      </c>
    </row>
    <row r="215" spans="1:13" x14ac:dyDescent="0.25">
      <c r="A215" t="s">
        <v>4</v>
      </c>
      <c r="B215" s="1">
        <v>44331</v>
      </c>
      <c r="C215" t="s">
        <v>35</v>
      </c>
      <c r="D215">
        <v>32</v>
      </c>
      <c r="E215">
        <v>0</v>
      </c>
      <c r="F215">
        <v>-32</v>
      </c>
      <c r="G215" t="s">
        <v>36</v>
      </c>
      <c r="H215" t="s">
        <v>22</v>
      </c>
      <c r="I215" t="s">
        <v>16</v>
      </c>
      <c r="J215" t="str">
        <f>TEXT(Data[[#This Row],[Date]],"mmm")</f>
        <v>May</v>
      </c>
      <c r="K215">
        <f>MONTH(Data[[#This Row],[Date]])</f>
        <v>5</v>
      </c>
      <c r="L215">
        <f>IF(Data[[#This Row],[Category Type]]="Income",Data[[#This Row],[Amount]],0)</f>
        <v>0</v>
      </c>
      <c r="M215">
        <f>IF(Data[[#This Row],[Category Type]]="Expense",-Data[[#This Row],[Amount]],0)</f>
        <v>32</v>
      </c>
    </row>
    <row r="216" spans="1:13" x14ac:dyDescent="0.25">
      <c r="A216" t="s">
        <v>9</v>
      </c>
      <c r="B216" s="1">
        <v>44332</v>
      </c>
      <c r="C216" t="s">
        <v>37</v>
      </c>
      <c r="D216">
        <v>30</v>
      </c>
      <c r="E216">
        <v>0</v>
      </c>
      <c r="F216">
        <v>-30</v>
      </c>
      <c r="G216" t="s">
        <v>38</v>
      </c>
      <c r="H216" t="s">
        <v>30</v>
      </c>
      <c r="I216" t="s">
        <v>16</v>
      </c>
      <c r="J216" t="str">
        <f>TEXT(Data[[#This Row],[Date]],"mmm")</f>
        <v>May</v>
      </c>
      <c r="K216">
        <f>MONTH(Data[[#This Row],[Date]])</f>
        <v>5</v>
      </c>
      <c r="L216">
        <f>IF(Data[[#This Row],[Category Type]]="Income",Data[[#This Row],[Amount]],0)</f>
        <v>0</v>
      </c>
      <c r="M216">
        <f>IF(Data[[#This Row],[Category Type]]="Expense",-Data[[#This Row],[Amount]],0)</f>
        <v>30</v>
      </c>
    </row>
    <row r="217" spans="1:13" x14ac:dyDescent="0.25">
      <c r="A217" t="s">
        <v>4</v>
      </c>
      <c r="B217" s="1">
        <v>44332</v>
      </c>
      <c r="C217" t="s">
        <v>13</v>
      </c>
      <c r="D217">
        <v>5</v>
      </c>
      <c r="E217">
        <v>0</v>
      </c>
      <c r="F217">
        <v>-5</v>
      </c>
      <c r="G217" t="s">
        <v>14</v>
      </c>
      <c r="H217" t="s">
        <v>15</v>
      </c>
      <c r="I217" t="s">
        <v>16</v>
      </c>
      <c r="J217" t="str">
        <f>TEXT(Data[[#This Row],[Date]],"mmm")</f>
        <v>May</v>
      </c>
      <c r="K217">
        <f>MONTH(Data[[#This Row],[Date]])</f>
        <v>5</v>
      </c>
      <c r="L217">
        <f>IF(Data[[#This Row],[Category Type]]="Income",Data[[#This Row],[Amount]],0)</f>
        <v>0</v>
      </c>
      <c r="M217">
        <f>IF(Data[[#This Row],[Category Type]]="Expense",-Data[[#This Row],[Amount]],0)</f>
        <v>5</v>
      </c>
    </row>
    <row r="218" spans="1:13" x14ac:dyDescent="0.25">
      <c r="A218" t="s">
        <v>4</v>
      </c>
      <c r="B218" s="1">
        <v>44333</v>
      </c>
      <c r="C218" t="s">
        <v>13</v>
      </c>
      <c r="D218">
        <v>5</v>
      </c>
      <c r="E218">
        <v>0</v>
      </c>
      <c r="F218">
        <v>-5</v>
      </c>
      <c r="G218" t="s">
        <v>14</v>
      </c>
      <c r="H218" t="s">
        <v>15</v>
      </c>
      <c r="I218" t="s">
        <v>16</v>
      </c>
      <c r="J218" t="str">
        <f>TEXT(Data[[#This Row],[Date]],"mmm")</f>
        <v>May</v>
      </c>
      <c r="K218">
        <f>MONTH(Data[[#This Row],[Date]])</f>
        <v>5</v>
      </c>
      <c r="L218">
        <f>IF(Data[[#This Row],[Category Type]]="Income",Data[[#This Row],[Amount]],0)</f>
        <v>0</v>
      </c>
      <c r="M218">
        <f>IF(Data[[#This Row],[Category Type]]="Expense",-Data[[#This Row],[Amount]],0)</f>
        <v>5</v>
      </c>
    </row>
    <row r="219" spans="1:13" x14ac:dyDescent="0.25">
      <c r="A219" t="s">
        <v>9</v>
      </c>
      <c r="B219" s="1">
        <v>44333</v>
      </c>
      <c r="C219" t="s">
        <v>55</v>
      </c>
      <c r="D219">
        <v>75</v>
      </c>
      <c r="E219">
        <v>0</v>
      </c>
      <c r="F219">
        <v>-75</v>
      </c>
      <c r="G219" t="s">
        <v>40</v>
      </c>
      <c r="H219" t="s">
        <v>41</v>
      </c>
      <c r="I219" t="s">
        <v>16</v>
      </c>
      <c r="J219" t="str">
        <f>TEXT(Data[[#This Row],[Date]],"mmm")</f>
        <v>May</v>
      </c>
      <c r="K219">
        <f>MONTH(Data[[#This Row],[Date]])</f>
        <v>5</v>
      </c>
      <c r="L219">
        <f>IF(Data[[#This Row],[Category Type]]="Income",Data[[#This Row],[Amount]],0)</f>
        <v>0</v>
      </c>
      <c r="M219">
        <f>IF(Data[[#This Row],[Category Type]]="Expense",-Data[[#This Row],[Amount]],0)</f>
        <v>75</v>
      </c>
    </row>
    <row r="220" spans="1:13" x14ac:dyDescent="0.25">
      <c r="A220" t="s">
        <v>9</v>
      </c>
      <c r="B220" s="1">
        <v>44333</v>
      </c>
      <c r="C220" t="s">
        <v>42</v>
      </c>
      <c r="D220">
        <v>40</v>
      </c>
      <c r="E220">
        <v>0</v>
      </c>
      <c r="F220">
        <v>-40</v>
      </c>
      <c r="G220" t="s">
        <v>43</v>
      </c>
      <c r="H220" t="s">
        <v>19</v>
      </c>
      <c r="I220" t="s">
        <v>16</v>
      </c>
      <c r="J220" t="str">
        <f>TEXT(Data[[#This Row],[Date]],"mmm")</f>
        <v>May</v>
      </c>
      <c r="K220">
        <f>MONTH(Data[[#This Row],[Date]])</f>
        <v>5</v>
      </c>
      <c r="L220">
        <f>IF(Data[[#This Row],[Category Type]]="Income",Data[[#This Row],[Amount]],0)</f>
        <v>0</v>
      </c>
      <c r="M220">
        <f>IF(Data[[#This Row],[Category Type]]="Expense",-Data[[#This Row],[Amount]],0)</f>
        <v>40</v>
      </c>
    </row>
    <row r="221" spans="1:13" x14ac:dyDescent="0.25">
      <c r="A221" t="s">
        <v>4</v>
      </c>
      <c r="B221" s="1">
        <v>44334</v>
      </c>
      <c r="C221" t="s">
        <v>44</v>
      </c>
      <c r="D221">
        <v>49</v>
      </c>
      <c r="E221">
        <v>0</v>
      </c>
      <c r="F221">
        <v>-49</v>
      </c>
      <c r="G221" t="s">
        <v>45</v>
      </c>
      <c r="H221" t="s">
        <v>30</v>
      </c>
      <c r="I221" t="s">
        <v>16</v>
      </c>
      <c r="J221" t="str">
        <f>TEXT(Data[[#This Row],[Date]],"mmm")</f>
        <v>May</v>
      </c>
      <c r="K221">
        <f>MONTH(Data[[#This Row],[Date]])</f>
        <v>5</v>
      </c>
      <c r="L221">
        <f>IF(Data[[#This Row],[Category Type]]="Income",Data[[#This Row],[Amount]],0)</f>
        <v>0</v>
      </c>
      <c r="M221">
        <f>IF(Data[[#This Row],[Category Type]]="Expense",-Data[[#This Row],[Amount]],0)</f>
        <v>49</v>
      </c>
    </row>
    <row r="222" spans="1:13" x14ac:dyDescent="0.25">
      <c r="A222" t="s">
        <v>4</v>
      </c>
      <c r="B222" s="1">
        <v>44334</v>
      </c>
      <c r="C222" t="s">
        <v>46</v>
      </c>
      <c r="D222">
        <v>35</v>
      </c>
      <c r="E222">
        <v>0</v>
      </c>
      <c r="F222">
        <v>-35</v>
      </c>
      <c r="G222" t="s">
        <v>21</v>
      </c>
      <c r="H222" t="s">
        <v>30</v>
      </c>
      <c r="I222" t="s">
        <v>16</v>
      </c>
      <c r="J222" t="str">
        <f>TEXT(Data[[#This Row],[Date]],"mmm")</f>
        <v>May</v>
      </c>
      <c r="K222">
        <f>MONTH(Data[[#This Row],[Date]])</f>
        <v>5</v>
      </c>
      <c r="L222">
        <f>IF(Data[[#This Row],[Category Type]]="Income",Data[[#This Row],[Amount]],0)</f>
        <v>0</v>
      </c>
      <c r="M222">
        <f>IF(Data[[#This Row],[Category Type]]="Expense",-Data[[#This Row],[Amount]],0)</f>
        <v>35</v>
      </c>
    </row>
    <row r="223" spans="1:13" x14ac:dyDescent="0.25">
      <c r="A223" t="s">
        <v>4</v>
      </c>
      <c r="B223" s="1">
        <v>44334</v>
      </c>
      <c r="C223" t="s">
        <v>13</v>
      </c>
      <c r="D223">
        <v>5</v>
      </c>
      <c r="E223">
        <v>0</v>
      </c>
      <c r="F223">
        <v>-5</v>
      </c>
      <c r="G223" t="s">
        <v>14</v>
      </c>
      <c r="H223" t="s">
        <v>15</v>
      </c>
      <c r="I223" t="s">
        <v>16</v>
      </c>
      <c r="J223" t="str">
        <f>TEXT(Data[[#This Row],[Date]],"mmm")</f>
        <v>May</v>
      </c>
      <c r="K223">
        <f>MONTH(Data[[#This Row],[Date]])</f>
        <v>5</v>
      </c>
      <c r="L223">
        <f>IF(Data[[#This Row],[Category Type]]="Income",Data[[#This Row],[Amount]],0)</f>
        <v>0</v>
      </c>
      <c r="M223">
        <f>IF(Data[[#This Row],[Category Type]]="Expense",-Data[[#This Row],[Amount]],0)</f>
        <v>5</v>
      </c>
    </row>
    <row r="224" spans="1:13" x14ac:dyDescent="0.25">
      <c r="A224" t="s">
        <v>4</v>
      </c>
      <c r="B224" s="1">
        <v>44335</v>
      </c>
      <c r="C224" t="s">
        <v>13</v>
      </c>
      <c r="D224">
        <v>5</v>
      </c>
      <c r="E224">
        <v>0</v>
      </c>
      <c r="F224">
        <v>-5</v>
      </c>
      <c r="G224" t="s">
        <v>14</v>
      </c>
      <c r="H224" t="s">
        <v>15</v>
      </c>
      <c r="I224" t="s">
        <v>16</v>
      </c>
      <c r="J224" t="str">
        <f>TEXT(Data[[#This Row],[Date]],"mmm")</f>
        <v>May</v>
      </c>
      <c r="K224">
        <f>MONTH(Data[[#This Row],[Date]])</f>
        <v>5</v>
      </c>
      <c r="L224">
        <f>IF(Data[[#This Row],[Category Type]]="Income",Data[[#This Row],[Amount]],0)</f>
        <v>0</v>
      </c>
      <c r="M224">
        <f>IF(Data[[#This Row],[Category Type]]="Expense",-Data[[#This Row],[Amount]],0)</f>
        <v>5</v>
      </c>
    </row>
    <row r="225" spans="1:13" x14ac:dyDescent="0.25">
      <c r="A225" t="s">
        <v>4</v>
      </c>
      <c r="B225" s="1">
        <v>44336</v>
      </c>
      <c r="C225" t="s">
        <v>13</v>
      </c>
      <c r="D225">
        <v>5</v>
      </c>
      <c r="E225">
        <v>0</v>
      </c>
      <c r="F225">
        <v>-5</v>
      </c>
      <c r="G225" t="s">
        <v>14</v>
      </c>
      <c r="H225" t="s">
        <v>15</v>
      </c>
      <c r="I225" t="s">
        <v>16</v>
      </c>
      <c r="J225" t="str">
        <f>TEXT(Data[[#This Row],[Date]],"mmm")</f>
        <v>May</v>
      </c>
      <c r="K225">
        <f>MONTH(Data[[#This Row],[Date]])</f>
        <v>5</v>
      </c>
      <c r="L225">
        <f>IF(Data[[#This Row],[Category Type]]="Income",Data[[#This Row],[Amount]],0)</f>
        <v>0</v>
      </c>
      <c r="M225">
        <f>IF(Data[[#This Row],[Category Type]]="Expense",-Data[[#This Row],[Amount]],0)</f>
        <v>5</v>
      </c>
    </row>
    <row r="226" spans="1:13" x14ac:dyDescent="0.25">
      <c r="A226" t="s">
        <v>4</v>
      </c>
      <c r="B226" s="1">
        <v>44336</v>
      </c>
      <c r="C226" t="s">
        <v>23</v>
      </c>
      <c r="D226">
        <v>174</v>
      </c>
      <c r="E226">
        <v>0</v>
      </c>
      <c r="F226">
        <v>-174</v>
      </c>
      <c r="G226" t="s">
        <v>24</v>
      </c>
      <c r="H226" t="s">
        <v>19</v>
      </c>
      <c r="I226" t="s">
        <v>16</v>
      </c>
      <c r="J226" t="str">
        <f>TEXT(Data[[#This Row],[Date]],"mmm")</f>
        <v>May</v>
      </c>
      <c r="K226">
        <f>MONTH(Data[[#This Row],[Date]])</f>
        <v>5</v>
      </c>
      <c r="L226">
        <f>IF(Data[[#This Row],[Category Type]]="Income",Data[[#This Row],[Amount]],0)</f>
        <v>0</v>
      </c>
      <c r="M226">
        <f>IF(Data[[#This Row],[Category Type]]="Expense",-Data[[#This Row],[Amount]],0)</f>
        <v>174</v>
      </c>
    </row>
    <row r="227" spans="1:13" x14ac:dyDescent="0.25">
      <c r="A227" t="s">
        <v>4</v>
      </c>
      <c r="B227" s="1">
        <v>44337</v>
      </c>
      <c r="C227" t="s">
        <v>47</v>
      </c>
      <c r="D227">
        <v>41.1</v>
      </c>
      <c r="E227">
        <v>0</v>
      </c>
      <c r="F227">
        <v>-41.1</v>
      </c>
      <c r="G227" t="s">
        <v>34</v>
      </c>
      <c r="H227" t="s">
        <v>15</v>
      </c>
      <c r="I227" t="s">
        <v>16</v>
      </c>
      <c r="J227" t="str">
        <f>TEXT(Data[[#This Row],[Date]],"mmm")</f>
        <v>May</v>
      </c>
      <c r="K227">
        <f>MONTH(Data[[#This Row],[Date]])</f>
        <v>5</v>
      </c>
      <c r="L227">
        <f>IF(Data[[#This Row],[Category Type]]="Income",Data[[#This Row],[Amount]],0)</f>
        <v>0</v>
      </c>
      <c r="M227">
        <f>IF(Data[[#This Row],[Category Type]]="Expense",-Data[[#This Row],[Amount]],0)</f>
        <v>41.1</v>
      </c>
    </row>
    <row r="228" spans="1:13" x14ac:dyDescent="0.25">
      <c r="A228" t="s">
        <v>4</v>
      </c>
      <c r="B228" s="1">
        <v>44338</v>
      </c>
      <c r="C228" t="s">
        <v>48</v>
      </c>
      <c r="D228">
        <v>16.2</v>
      </c>
      <c r="E228">
        <v>0</v>
      </c>
      <c r="F228">
        <v>-16.2</v>
      </c>
      <c r="G228" t="s">
        <v>34</v>
      </c>
      <c r="H228" t="s">
        <v>15</v>
      </c>
      <c r="I228" t="s">
        <v>16</v>
      </c>
      <c r="J228" t="str">
        <f>TEXT(Data[[#This Row],[Date]],"mmm")</f>
        <v>May</v>
      </c>
      <c r="K228">
        <f>MONTH(Data[[#This Row],[Date]])</f>
        <v>5</v>
      </c>
      <c r="L228">
        <f>IF(Data[[#This Row],[Category Type]]="Income",Data[[#This Row],[Amount]],0)</f>
        <v>0</v>
      </c>
      <c r="M228">
        <f>IF(Data[[#This Row],[Category Type]]="Expense",-Data[[#This Row],[Amount]],0)</f>
        <v>16.2</v>
      </c>
    </row>
    <row r="229" spans="1:13" x14ac:dyDescent="0.25">
      <c r="A229" t="s">
        <v>9</v>
      </c>
      <c r="B229" s="1">
        <v>44339</v>
      </c>
      <c r="C229" t="s">
        <v>49</v>
      </c>
      <c r="D229">
        <v>55</v>
      </c>
      <c r="E229">
        <v>0</v>
      </c>
      <c r="F229">
        <v>-55</v>
      </c>
      <c r="G229" t="s">
        <v>50</v>
      </c>
      <c r="H229" t="s">
        <v>51</v>
      </c>
      <c r="I229" t="s">
        <v>16</v>
      </c>
      <c r="J229" t="str">
        <f>TEXT(Data[[#This Row],[Date]],"mmm")</f>
        <v>May</v>
      </c>
      <c r="K229">
        <f>MONTH(Data[[#This Row],[Date]])</f>
        <v>5</v>
      </c>
      <c r="L229">
        <f>IF(Data[[#This Row],[Category Type]]="Income",Data[[#This Row],[Amount]],0)</f>
        <v>0</v>
      </c>
      <c r="M229">
        <f>IF(Data[[#This Row],[Category Type]]="Expense",-Data[[#This Row],[Amount]],0)</f>
        <v>55</v>
      </c>
    </row>
    <row r="230" spans="1:13" x14ac:dyDescent="0.25">
      <c r="A230" t="s">
        <v>4</v>
      </c>
      <c r="B230" s="1">
        <v>44339</v>
      </c>
      <c r="C230" t="s">
        <v>27</v>
      </c>
      <c r="D230">
        <v>67</v>
      </c>
      <c r="E230">
        <v>0</v>
      </c>
      <c r="F230">
        <v>-67</v>
      </c>
      <c r="G230" t="s">
        <v>28</v>
      </c>
      <c r="H230" t="s">
        <v>22</v>
      </c>
      <c r="I230" t="s">
        <v>16</v>
      </c>
      <c r="J230" t="str">
        <f>TEXT(Data[[#This Row],[Date]],"mmm")</f>
        <v>May</v>
      </c>
      <c r="K230">
        <f>MONTH(Data[[#This Row],[Date]])</f>
        <v>5</v>
      </c>
      <c r="L230">
        <f>IF(Data[[#This Row],[Category Type]]="Income",Data[[#This Row],[Amount]],0)</f>
        <v>0</v>
      </c>
      <c r="M230">
        <f>IF(Data[[#This Row],[Category Type]]="Expense",-Data[[#This Row],[Amount]],0)</f>
        <v>67</v>
      </c>
    </row>
    <row r="231" spans="1:13" x14ac:dyDescent="0.25">
      <c r="A231" t="s">
        <v>4</v>
      </c>
      <c r="B231" s="1">
        <v>44339</v>
      </c>
      <c r="C231" t="s">
        <v>13</v>
      </c>
      <c r="D231">
        <v>5</v>
      </c>
      <c r="E231">
        <v>0</v>
      </c>
      <c r="F231">
        <v>-5</v>
      </c>
      <c r="G231" t="s">
        <v>14</v>
      </c>
      <c r="H231" t="s">
        <v>15</v>
      </c>
      <c r="I231" t="s">
        <v>16</v>
      </c>
      <c r="J231" t="str">
        <f>TEXT(Data[[#This Row],[Date]],"mmm")</f>
        <v>May</v>
      </c>
      <c r="K231">
        <f>MONTH(Data[[#This Row],[Date]])</f>
        <v>5</v>
      </c>
      <c r="L231">
        <f>IF(Data[[#This Row],[Category Type]]="Income",Data[[#This Row],[Amount]],0)</f>
        <v>0</v>
      </c>
      <c r="M231">
        <f>IF(Data[[#This Row],[Category Type]]="Expense",-Data[[#This Row],[Amount]],0)</f>
        <v>5</v>
      </c>
    </row>
    <row r="232" spans="1:13" x14ac:dyDescent="0.25">
      <c r="A232" t="s">
        <v>4</v>
      </c>
      <c r="B232" s="1">
        <v>44340</v>
      </c>
      <c r="C232" t="s">
        <v>13</v>
      </c>
      <c r="D232">
        <v>5</v>
      </c>
      <c r="E232">
        <v>0</v>
      </c>
      <c r="F232">
        <v>-5</v>
      </c>
      <c r="G232" t="s">
        <v>14</v>
      </c>
      <c r="H232" t="s">
        <v>15</v>
      </c>
      <c r="I232" t="s">
        <v>16</v>
      </c>
      <c r="J232" t="str">
        <f>TEXT(Data[[#This Row],[Date]],"mmm")</f>
        <v>May</v>
      </c>
      <c r="K232">
        <f>MONTH(Data[[#This Row],[Date]])</f>
        <v>5</v>
      </c>
      <c r="L232">
        <f>IF(Data[[#This Row],[Category Type]]="Income",Data[[#This Row],[Amount]],0)</f>
        <v>0</v>
      </c>
      <c r="M232">
        <f>IF(Data[[#This Row],[Category Type]]="Expense",-Data[[#This Row],[Amount]],0)</f>
        <v>5</v>
      </c>
    </row>
    <row r="233" spans="1:13" x14ac:dyDescent="0.25">
      <c r="A233" t="s">
        <v>4</v>
      </c>
      <c r="B233" s="1">
        <v>44341</v>
      </c>
      <c r="C233" t="s">
        <v>13</v>
      </c>
      <c r="D233">
        <v>5</v>
      </c>
      <c r="E233">
        <v>0</v>
      </c>
      <c r="F233">
        <v>-5</v>
      </c>
      <c r="G233" t="s">
        <v>14</v>
      </c>
      <c r="H233" t="s">
        <v>15</v>
      </c>
      <c r="I233" t="s">
        <v>16</v>
      </c>
      <c r="J233" t="str">
        <f>TEXT(Data[[#This Row],[Date]],"mmm")</f>
        <v>May</v>
      </c>
      <c r="K233">
        <f>MONTH(Data[[#This Row],[Date]])</f>
        <v>5</v>
      </c>
      <c r="L233">
        <f>IF(Data[[#This Row],[Category Type]]="Income",Data[[#This Row],[Amount]],0)</f>
        <v>0</v>
      </c>
      <c r="M233">
        <f>IF(Data[[#This Row],[Category Type]]="Expense",-Data[[#This Row],[Amount]],0)</f>
        <v>5</v>
      </c>
    </row>
    <row r="234" spans="1:13" x14ac:dyDescent="0.25">
      <c r="A234" t="s">
        <v>4</v>
      </c>
      <c r="B234" s="1">
        <v>44342</v>
      </c>
      <c r="C234" t="s">
        <v>13</v>
      </c>
      <c r="D234">
        <v>5</v>
      </c>
      <c r="E234">
        <v>0</v>
      </c>
      <c r="F234">
        <v>-5</v>
      </c>
      <c r="G234" t="s">
        <v>14</v>
      </c>
      <c r="H234" t="s">
        <v>15</v>
      </c>
      <c r="I234" t="s">
        <v>16</v>
      </c>
      <c r="J234" t="str">
        <f>TEXT(Data[[#This Row],[Date]],"mmm")</f>
        <v>May</v>
      </c>
      <c r="K234">
        <f>MONTH(Data[[#This Row],[Date]])</f>
        <v>5</v>
      </c>
      <c r="L234">
        <f>IF(Data[[#This Row],[Category Type]]="Income",Data[[#This Row],[Amount]],0)</f>
        <v>0</v>
      </c>
      <c r="M234">
        <f>IF(Data[[#This Row],[Category Type]]="Expense",-Data[[#This Row],[Amount]],0)</f>
        <v>5</v>
      </c>
    </row>
    <row r="235" spans="1:13" x14ac:dyDescent="0.25">
      <c r="A235" t="s">
        <v>4</v>
      </c>
      <c r="B235" s="1">
        <v>44343</v>
      </c>
      <c r="C235" t="s">
        <v>13</v>
      </c>
      <c r="D235">
        <v>5</v>
      </c>
      <c r="E235">
        <v>0</v>
      </c>
      <c r="F235">
        <v>-5</v>
      </c>
      <c r="G235" t="s">
        <v>14</v>
      </c>
      <c r="H235" t="s">
        <v>15</v>
      </c>
      <c r="I235" t="s">
        <v>16</v>
      </c>
      <c r="J235" t="str">
        <f>TEXT(Data[[#This Row],[Date]],"mmm")</f>
        <v>May</v>
      </c>
      <c r="K235">
        <f>MONTH(Data[[#This Row],[Date]])</f>
        <v>5</v>
      </c>
      <c r="L235">
        <f>IF(Data[[#This Row],[Category Type]]="Income",Data[[#This Row],[Amount]],0)</f>
        <v>0</v>
      </c>
      <c r="M235">
        <f>IF(Data[[#This Row],[Category Type]]="Expense",-Data[[#This Row],[Amount]],0)</f>
        <v>5</v>
      </c>
    </row>
    <row r="236" spans="1:13" x14ac:dyDescent="0.25">
      <c r="A236" t="s">
        <v>4</v>
      </c>
      <c r="B236" s="1">
        <v>44343</v>
      </c>
      <c r="C236" t="s">
        <v>23</v>
      </c>
      <c r="D236">
        <v>165.8</v>
      </c>
      <c r="E236">
        <v>0</v>
      </c>
      <c r="F236">
        <v>-165.8</v>
      </c>
      <c r="G236" t="s">
        <v>24</v>
      </c>
      <c r="H236" t="s">
        <v>19</v>
      </c>
      <c r="I236" t="s">
        <v>16</v>
      </c>
      <c r="J236" t="str">
        <f>TEXT(Data[[#This Row],[Date]],"mmm")</f>
        <v>May</v>
      </c>
      <c r="K236">
        <f>MONTH(Data[[#This Row],[Date]])</f>
        <v>5</v>
      </c>
      <c r="L236">
        <f>IF(Data[[#This Row],[Category Type]]="Income",Data[[#This Row],[Amount]],0)</f>
        <v>0</v>
      </c>
      <c r="M236">
        <f>IF(Data[[#This Row],[Category Type]]="Expense",-Data[[#This Row],[Amount]],0)</f>
        <v>165.8</v>
      </c>
    </row>
    <row r="237" spans="1:13" x14ac:dyDescent="0.25">
      <c r="A237" t="s">
        <v>4</v>
      </c>
      <c r="B237" s="1">
        <v>44344</v>
      </c>
      <c r="C237" t="s">
        <v>52</v>
      </c>
      <c r="D237">
        <v>128.80000000000001</v>
      </c>
      <c r="E237">
        <v>0</v>
      </c>
      <c r="F237">
        <v>-128.80000000000001</v>
      </c>
      <c r="G237" t="s">
        <v>32</v>
      </c>
      <c r="H237" t="s">
        <v>30</v>
      </c>
      <c r="I237" t="s">
        <v>16</v>
      </c>
      <c r="J237" t="str">
        <f>TEXT(Data[[#This Row],[Date]],"mmm")</f>
        <v>May</v>
      </c>
      <c r="K237">
        <f>MONTH(Data[[#This Row],[Date]])</f>
        <v>5</v>
      </c>
      <c r="L237">
        <f>IF(Data[[#This Row],[Category Type]]="Income",Data[[#This Row],[Amount]],0)</f>
        <v>0</v>
      </c>
      <c r="M237">
        <f>IF(Data[[#This Row],[Category Type]]="Expense",-Data[[#This Row],[Amount]],0)</f>
        <v>128.80000000000001</v>
      </c>
    </row>
    <row r="238" spans="1:13" x14ac:dyDescent="0.25">
      <c r="A238" t="s">
        <v>4</v>
      </c>
      <c r="B238" s="1">
        <v>44344</v>
      </c>
      <c r="C238" t="s">
        <v>59</v>
      </c>
      <c r="D238">
        <v>235</v>
      </c>
      <c r="E238">
        <v>0</v>
      </c>
      <c r="F238">
        <v>-235</v>
      </c>
      <c r="G238" t="s">
        <v>60</v>
      </c>
      <c r="H238" t="s">
        <v>30</v>
      </c>
      <c r="I238" t="s">
        <v>16</v>
      </c>
      <c r="J238" t="str">
        <f>TEXT(Data[[#This Row],[Date]],"mmm")</f>
        <v>May</v>
      </c>
      <c r="K238">
        <f>MONTH(Data[[#This Row],[Date]])</f>
        <v>5</v>
      </c>
      <c r="L238">
        <f>IF(Data[[#This Row],[Category Type]]="Income",Data[[#This Row],[Amount]],0)</f>
        <v>0</v>
      </c>
      <c r="M238">
        <f>IF(Data[[#This Row],[Category Type]]="Expense",-Data[[#This Row],[Amount]],0)</f>
        <v>235</v>
      </c>
    </row>
    <row r="239" spans="1:13" x14ac:dyDescent="0.25">
      <c r="A239" t="s">
        <v>4</v>
      </c>
      <c r="B239" s="1">
        <v>44345</v>
      </c>
      <c r="C239" t="s">
        <v>31</v>
      </c>
      <c r="D239">
        <v>149.19999999999999</v>
      </c>
      <c r="E239">
        <v>0</v>
      </c>
      <c r="F239">
        <v>-149.19999999999999</v>
      </c>
      <c r="G239" t="s">
        <v>32</v>
      </c>
      <c r="H239" t="s">
        <v>30</v>
      </c>
      <c r="I239" t="s">
        <v>16</v>
      </c>
      <c r="J239" t="str">
        <f>TEXT(Data[[#This Row],[Date]],"mmm")</f>
        <v>May</v>
      </c>
      <c r="K239">
        <f>MONTH(Data[[#This Row],[Date]])</f>
        <v>5</v>
      </c>
      <c r="L239">
        <f>IF(Data[[#This Row],[Category Type]]="Income",Data[[#This Row],[Amount]],0)</f>
        <v>0</v>
      </c>
      <c r="M239">
        <f>IF(Data[[#This Row],[Category Type]]="Expense",-Data[[#This Row],[Amount]],0)</f>
        <v>149.19999999999999</v>
      </c>
    </row>
    <row r="240" spans="1:13" x14ac:dyDescent="0.25">
      <c r="A240" t="s">
        <v>4</v>
      </c>
      <c r="B240" s="1">
        <v>44345</v>
      </c>
      <c r="C240" t="s">
        <v>35</v>
      </c>
      <c r="D240">
        <v>27.200000000000003</v>
      </c>
      <c r="E240">
        <v>0</v>
      </c>
      <c r="F240">
        <v>-27.200000000000003</v>
      </c>
      <c r="G240" t="s">
        <v>36</v>
      </c>
      <c r="H240" t="s">
        <v>22</v>
      </c>
      <c r="I240" t="s">
        <v>16</v>
      </c>
      <c r="J240" t="str">
        <f>TEXT(Data[[#This Row],[Date]],"mmm")</f>
        <v>May</v>
      </c>
      <c r="K240">
        <f>MONTH(Data[[#This Row],[Date]])</f>
        <v>5</v>
      </c>
      <c r="L240">
        <f>IF(Data[[#This Row],[Category Type]]="Income",Data[[#This Row],[Amount]],0)</f>
        <v>0</v>
      </c>
      <c r="M240">
        <f>IF(Data[[#This Row],[Category Type]]="Expense",-Data[[#This Row],[Amount]],0)</f>
        <v>27.200000000000003</v>
      </c>
    </row>
    <row r="241" spans="1:13" x14ac:dyDescent="0.25">
      <c r="A241" t="s">
        <v>4</v>
      </c>
      <c r="B241" s="1">
        <v>44347</v>
      </c>
      <c r="C241" t="s">
        <v>57</v>
      </c>
      <c r="D241">
        <v>15</v>
      </c>
      <c r="E241">
        <v>0</v>
      </c>
      <c r="F241">
        <v>-15</v>
      </c>
      <c r="G241" t="s">
        <v>34</v>
      </c>
      <c r="H241" t="s">
        <v>15</v>
      </c>
      <c r="I241" t="s">
        <v>16</v>
      </c>
      <c r="J241" t="str">
        <f>TEXT(Data[[#This Row],[Date]],"mmm")</f>
        <v>May</v>
      </c>
      <c r="K241">
        <f>MONTH(Data[[#This Row],[Date]])</f>
        <v>5</v>
      </c>
      <c r="L241">
        <f>IF(Data[[#This Row],[Category Type]]="Income",Data[[#This Row],[Amount]],0)</f>
        <v>0</v>
      </c>
      <c r="M241">
        <f>IF(Data[[#This Row],[Category Type]]="Expense",-Data[[#This Row],[Amount]],0)</f>
        <v>15</v>
      </c>
    </row>
    <row r="242" spans="1:13" x14ac:dyDescent="0.25">
      <c r="A242" t="s">
        <v>4</v>
      </c>
      <c r="B242" s="1">
        <v>44346</v>
      </c>
      <c r="C242" t="s">
        <v>13</v>
      </c>
      <c r="D242">
        <v>5</v>
      </c>
      <c r="E242">
        <v>0</v>
      </c>
      <c r="F242">
        <v>-5</v>
      </c>
      <c r="G242" t="s">
        <v>14</v>
      </c>
      <c r="H242" t="s">
        <v>15</v>
      </c>
      <c r="I242" t="s">
        <v>16</v>
      </c>
      <c r="J242" t="str">
        <f>TEXT(Data[[#This Row],[Date]],"mmm")</f>
        <v>May</v>
      </c>
      <c r="K242">
        <f>MONTH(Data[[#This Row],[Date]])</f>
        <v>5</v>
      </c>
      <c r="L242">
        <f>IF(Data[[#This Row],[Category Type]]="Income",Data[[#This Row],[Amount]],0)</f>
        <v>0</v>
      </c>
      <c r="M242">
        <f>IF(Data[[#This Row],[Category Type]]="Expense",-Data[[#This Row],[Amount]],0)</f>
        <v>5</v>
      </c>
    </row>
    <row r="243" spans="1:13" x14ac:dyDescent="0.25">
      <c r="A243" t="s">
        <v>4</v>
      </c>
      <c r="B243" s="1">
        <v>44347</v>
      </c>
      <c r="C243" t="s">
        <v>13</v>
      </c>
      <c r="D243">
        <v>5</v>
      </c>
      <c r="E243">
        <v>0</v>
      </c>
      <c r="F243">
        <v>-5</v>
      </c>
      <c r="G243" t="s">
        <v>14</v>
      </c>
      <c r="H243" t="s">
        <v>15</v>
      </c>
      <c r="I243" t="s">
        <v>16</v>
      </c>
      <c r="J243" t="str">
        <f>TEXT(Data[[#This Row],[Date]],"mmm")</f>
        <v>May</v>
      </c>
      <c r="K243">
        <f>MONTH(Data[[#This Row],[Date]])</f>
        <v>5</v>
      </c>
      <c r="L243">
        <f>IF(Data[[#This Row],[Category Type]]="Income",Data[[#This Row],[Amount]],0)</f>
        <v>0</v>
      </c>
      <c r="M243">
        <f>IF(Data[[#This Row],[Category Type]]="Expense",-Data[[#This Row],[Amount]],0)</f>
        <v>5</v>
      </c>
    </row>
    <row r="244" spans="1:13" x14ac:dyDescent="0.25">
      <c r="A244" t="s">
        <v>9</v>
      </c>
      <c r="B244" s="1">
        <v>44348</v>
      </c>
      <c r="C244" t="s">
        <v>10</v>
      </c>
      <c r="D244">
        <v>0</v>
      </c>
      <c r="E244">
        <v>4000</v>
      </c>
      <c r="F244">
        <v>4000</v>
      </c>
      <c r="G244" t="s">
        <v>11</v>
      </c>
      <c r="H244" t="s">
        <v>11</v>
      </c>
      <c r="I244" t="s">
        <v>12</v>
      </c>
      <c r="J244" t="str">
        <f>TEXT(Data[[#This Row],[Date]],"mmm")</f>
        <v>Jun</v>
      </c>
      <c r="K244">
        <f>MONTH(Data[[#This Row],[Date]])</f>
        <v>6</v>
      </c>
      <c r="L244">
        <f>IF(Data[[#This Row],[Category Type]]="Income",Data[[#This Row],[Amount]],0)</f>
        <v>4000</v>
      </c>
      <c r="M244">
        <f>IF(Data[[#This Row],[Category Type]]="Expense",-Data[[#This Row],[Amount]],0)</f>
        <v>0</v>
      </c>
    </row>
    <row r="245" spans="1:13" x14ac:dyDescent="0.25">
      <c r="A245" t="s">
        <v>4</v>
      </c>
      <c r="B245" s="1">
        <v>44350</v>
      </c>
      <c r="C245" t="s">
        <v>13</v>
      </c>
      <c r="D245">
        <v>5</v>
      </c>
      <c r="E245">
        <v>0</v>
      </c>
      <c r="F245">
        <v>-5</v>
      </c>
      <c r="G245" t="s">
        <v>14</v>
      </c>
      <c r="H245" t="s">
        <v>15</v>
      </c>
      <c r="I245" t="s">
        <v>16</v>
      </c>
      <c r="J245" t="str">
        <f>TEXT(Data[[#This Row],[Date]],"mmm")</f>
        <v>Jun</v>
      </c>
      <c r="K245">
        <f>MONTH(Data[[#This Row],[Date]])</f>
        <v>6</v>
      </c>
      <c r="L245">
        <f>IF(Data[[#This Row],[Category Type]]="Income",Data[[#This Row],[Amount]],0)</f>
        <v>0</v>
      </c>
      <c r="M245">
        <f>IF(Data[[#This Row],[Category Type]]="Expense",-Data[[#This Row],[Amount]],0)</f>
        <v>5</v>
      </c>
    </row>
    <row r="246" spans="1:13" x14ac:dyDescent="0.25">
      <c r="A246" t="s">
        <v>9</v>
      </c>
      <c r="B246" s="1">
        <v>44350</v>
      </c>
      <c r="C246" t="s">
        <v>17</v>
      </c>
      <c r="D246">
        <v>900</v>
      </c>
      <c r="E246">
        <v>0</v>
      </c>
      <c r="F246">
        <v>-900</v>
      </c>
      <c r="G246" t="s">
        <v>18</v>
      </c>
      <c r="H246" t="s">
        <v>19</v>
      </c>
      <c r="I246" t="s">
        <v>16</v>
      </c>
      <c r="J246" t="str">
        <f>TEXT(Data[[#This Row],[Date]],"mmm")</f>
        <v>Jun</v>
      </c>
      <c r="K246">
        <f>MONTH(Data[[#This Row],[Date]])</f>
        <v>6</v>
      </c>
      <c r="L246">
        <f>IF(Data[[#This Row],[Category Type]]="Income",Data[[#This Row],[Amount]],0)</f>
        <v>0</v>
      </c>
      <c r="M246">
        <f>IF(Data[[#This Row],[Category Type]]="Expense",-Data[[#This Row],[Amount]],0)</f>
        <v>900</v>
      </c>
    </row>
    <row r="247" spans="1:13" x14ac:dyDescent="0.25">
      <c r="A247" t="s">
        <v>9</v>
      </c>
      <c r="B247" s="1">
        <v>44350</v>
      </c>
      <c r="C247" t="s">
        <v>20</v>
      </c>
      <c r="D247">
        <v>150</v>
      </c>
      <c r="E247">
        <v>0</v>
      </c>
      <c r="F247">
        <v>-150</v>
      </c>
      <c r="G247" t="s">
        <v>21</v>
      </c>
      <c r="H247" t="s">
        <v>22</v>
      </c>
      <c r="I247" t="s">
        <v>16</v>
      </c>
      <c r="J247" t="str">
        <f>TEXT(Data[[#This Row],[Date]],"mmm")</f>
        <v>Jun</v>
      </c>
      <c r="K247">
        <f>MONTH(Data[[#This Row],[Date]])</f>
        <v>6</v>
      </c>
      <c r="L247">
        <f>IF(Data[[#This Row],[Category Type]]="Income",Data[[#This Row],[Amount]],0)</f>
        <v>0</v>
      </c>
      <c r="M247">
        <f>IF(Data[[#This Row],[Category Type]]="Expense",-Data[[#This Row],[Amount]],0)</f>
        <v>150</v>
      </c>
    </row>
    <row r="248" spans="1:13" x14ac:dyDescent="0.25">
      <c r="A248" t="s">
        <v>4</v>
      </c>
      <c r="B248" s="1">
        <v>44351</v>
      </c>
      <c r="C248" t="s">
        <v>13</v>
      </c>
      <c r="D248">
        <v>5</v>
      </c>
      <c r="E248">
        <v>0</v>
      </c>
      <c r="F248">
        <v>-5</v>
      </c>
      <c r="G248" t="s">
        <v>14</v>
      </c>
      <c r="H248" t="s">
        <v>15</v>
      </c>
      <c r="I248" t="s">
        <v>16</v>
      </c>
      <c r="J248" t="str">
        <f>TEXT(Data[[#This Row],[Date]],"mmm")</f>
        <v>Jun</v>
      </c>
      <c r="K248">
        <f>MONTH(Data[[#This Row],[Date]])</f>
        <v>6</v>
      </c>
      <c r="L248">
        <f>IF(Data[[#This Row],[Category Type]]="Income",Data[[#This Row],[Amount]],0)</f>
        <v>0</v>
      </c>
      <c r="M248">
        <f>IF(Data[[#This Row],[Category Type]]="Expense",-Data[[#This Row],[Amount]],0)</f>
        <v>5</v>
      </c>
    </row>
    <row r="249" spans="1:13" x14ac:dyDescent="0.25">
      <c r="A249" t="s">
        <v>4</v>
      </c>
      <c r="B249" s="1">
        <v>44352</v>
      </c>
      <c r="C249" t="s">
        <v>13</v>
      </c>
      <c r="D249">
        <v>5</v>
      </c>
      <c r="E249">
        <v>0</v>
      </c>
      <c r="F249">
        <v>-5</v>
      </c>
      <c r="G249" t="s">
        <v>14</v>
      </c>
      <c r="H249" t="s">
        <v>15</v>
      </c>
      <c r="I249" t="s">
        <v>16</v>
      </c>
      <c r="J249" t="str">
        <f>TEXT(Data[[#This Row],[Date]],"mmm")</f>
        <v>Jun</v>
      </c>
      <c r="K249">
        <f>MONTH(Data[[#This Row],[Date]])</f>
        <v>6</v>
      </c>
      <c r="L249">
        <f>IF(Data[[#This Row],[Category Type]]="Income",Data[[#This Row],[Amount]],0)</f>
        <v>0</v>
      </c>
      <c r="M249">
        <f>IF(Data[[#This Row],[Category Type]]="Expense",-Data[[#This Row],[Amount]],0)</f>
        <v>5</v>
      </c>
    </row>
    <row r="250" spans="1:13" x14ac:dyDescent="0.25">
      <c r="A250" t="s">
        <v>4</v>
      </c>
      <c r="B250" s="1">
        <v>44353</v>
      </c>
      <c r="C250" t="s">
        <v>13</v>
      </c>
      <c r="D250">
        <v>5</v>
      </c>
      <c r="E250">
        <v>0</v>
      </c>
      <c r="F250">
        <v>-5</v>
      </c>
      <c r="G250" t="s">
        <v>14</v>
      </c>
      <c r="H250" t="s">
        <v>15</v>
      </c>
      <c r="I250" t="s">
        <v>16</v>
      </c>
      <c r="J250" t="str">
        <f>TEXT(Data[[#This Row],[Date]],"mmm")</f>
        <v>Jun</v>
      </c>
      <c r="K250">
        <f>MONTH(Data[[#This Row],[Date]])</f>
        <v>6</v>
      </c>
      <c r="L250">
        <f>IF(Data[[#This Row],[Category Type]]="Income",Data[[#This Row],[Amount]],0)</f>
        <v>0</v>
      </c>
      <c r="M250">
        <f>IF(Data[[#This Row],[Category Type]]="Expense",-Data[[#This Row],[Amount]],0)</f>
        <v>5</v>
      </c>
    </row>
    <row r="251" spans="1:13" x14ac:dyDescent="0.25">
      <c r="A251" t="s">
        <v>4</v>
      </c>
      <c r="B251" s="1">
        <v>44353</v>
      </c>
      <c r="C251" t="s">
        <v>23</v>
      </c>
      <c r="D251">
        <v>119</v>
      </c>
      <c r="E251">
        <v>0</v>
      </c>
      <c r="F251">
        <v>-119</v>
      </c>
      <c r="G251" t="s">
        <v>24</v>
      </c>
      <c r="H251" t="s">
        <v>19</v>
      </c>
      <c r="I251" t="s">
        <v>16</v>
      </c>
      <c r="J251" t="str">
        <f>TEXT(Data[[#This Row],[Date]],"mmm")</f>
        <v>Jun</v>
      </c>
      <c r="K251">
        <f>MONTH(Data[[#This Row],[Date]])</f>
        <v>6</v>
      </c>
      <c r="L251">
        <f>IF(Data[[#This Row],[Category Type]]="Income",Data[[#This Row],[Amount]],0)</f>
        <v>0</v>
      </c>
      <c r="M251">
        <f>IF(Data[[#This Row],[Category Type]]="Expense",-Data[[#This Row],[Amount]],0)</f>
        <v>119</v>
      </c>
    </row>
    <row r="252" spans="1:13" x14ac:dyDescent="0.25">
      <c r="A252" t="s">
        <v>9</v>
      </c>
      <c r="B252" s="1">
        <v>44356</v>
      </c>
      <c r="C252" t="s">
        <v>25</v>
      </c>
      <c r="D252">
        <v>55</v>
      </c>
      <c r="E252">
        <v>0</v>
      </c>
      <c r="F252">
        <v>-55</v>
      </c>
      <c r="G252" t="s">
        <v>26</v>
      </c>
      <c r="H252" t="s">
        <v>19</v>
      </c>
      <c r="I252" t="s">
        <v>16</v>
      </c>
      <c r="J252" t="str">
        <f>TEXT(Data[[#This Row],[Date]],"mmm")</f>
        <v>Jun</v>
      </c>
      <c r="K252">
        <f>MONTH(Data[[#This Row],[Date]])</f>
        <v>6</v>
      </c>
      <c r="L252">
        <f>IF(Data[[#This Row],[Category Type]]="Income",Data[[#This Row],[Amount]],0)</f>
        <v>0</v>
      </c>
      <c r="M252">
        <f>IF(Data[[#This Row],[Category Type]]="Expense",-Data[[#This Row],[Amount]],0)</f>
        <v>55</v>
      </c>
    </row>
    <row r="253" spans="1:13" x14ac:dyDescent="0.25">
      <c r="A253" t="s">
        <v>4</v>
      </c>
      <c r="B253" s="1">
        <v>44356</v>
      </c>
      <c r="C253" t="s">
        <v>13</v>
      </c>
      <c r="D253">
        <v>5</v>
      </c>
      <c r="E253">
        <v>0</v>
      </c>
      <c r="F253">
        <v>-5</v>
      </c>
      <c r="G253" t="s">
        <v>14</v>
      </c>
      <c r="H253" t="s">
        <v>15</v>
      </c>
      <c r="I253" t="s">
        <v>16</v>
      </c>
      <c r="J253" t="str">
        <f>TEXT(Data[[#This Row],[Date]],"mmm")</f>
        <v>Jun</v>
      </c>
      <c r="K253">
        <f>MONTH(Data[[#This Row],[Date]])</f>
        <v>6</v>
      </c>
      <c r="L253">
        <f>IF(Data[[#This Row],[Category Type]]="Income",Data[[#This Row],[Amount]],0)</f>
        <v>0</v>
      </c>
      <c r="M253">
        <f>IF(Data[[#This Row],[Category Type]]="Expense",-Data[[#This Row],[Amount]],0)</f>
        <v>5</v>
      </c>
    </row>
    <row r="254" spans="1:13" x14ac:dyDescent="0.25">
      <c r="A254" t="s">
        <v>4</v>
      </c>
      <c r="B254" s="1">
        <v>44357</v>
      </c>
      <c r="C254" t="s">
        <v>13</v>
      </c>
      <c r="D254">
        <v>5</v>
      </c>
      <c r="E254">
        <v>0</v>
      </c>
      <c r="F254">
        <v>-5</v>
      </c>
      <c r="G254" t="s">
        <v>14</v>
      </c>
      <c r="H254" t="s">
        <v>15</v>
      </c>
      <c r="I254" t="s">
        <v>16</v>
      </c>
      <c r="J254" t="str">
        <f>TEXT(Data[[#This Row],[Date]],"mmm")</f>
        <v>Jun</v>
      </c>
      <c r="K254">
        <f>MONTH(Data[[#This Row],[Date]])</f>
        <v>6</v>
      </c>
      <c r="L254">
        <f>IF(Data[[#This Row],[Category Type]]="Income",Data[[#This Row],[Amount]],0)</f>
        <v>0</v>
      </c>
      <c r="M254">
        <f>IF(Data[[#This Row],[Category Type]]="Expense",-Data[[#This Row],[Amount]],0)</f>
        <v>5</v>
      </c>
    </row>
    <row r="255" spans="1:13" x14ac:dyDescent="0.25">
      <c r="A255" t="s">
        <v>4</v>
      </c>
      <c r="B255" s="1">
        <v>44358</v>
      </c>
      <c r="C255" t="s">
        <v>27</v>
      </c>
      <c r="D255">
        <v>82.1</v>
      </c>
      <c r="E255">
        <v>0</v>
      </c>
      <c r="F255">
        <v>-82.1</v>
      </c>
      <c r="G255" t="s">
        <v>28</v>
      </c>
      <c r="H255" t="s">
        <v>22</v>
      </c>
      <c r="I255" t="s">
        <v>16</v>
      </c>
      <c r="J255" t="str">
        <f>TEXT(Data[[#This Row],[Date]],"mmm")</f>
        <v>Jun</v>
      </c>
      <c r="K255">
        <f>MONTH(Data[[#This Row],[Date]])</f>
        <v>6</v>
      </c>
      <c r="L255">
        <f>IF(Data[[#This Row],[Category Type]]="Income",Data[[#This Row],[Amount]],0)</f>
        <v>0</v>
      </c>
      <c r="M255">
        <f>IF(Data[[#This Row],[Category Type]]="Expense",-Data[[#This Row],[Amount]],0)</f>
        <v>82.1</v>
      </c>
    </row>
    <row r="256" spans="1:13" x14ac:dyDescent="0.25">
      <c r="A256" t="s">
        <v>4</v>
      </c>
      <c r="B256" s="1">
        <v>44358</v>
      </c>
      <c r="C256" t="s">
        <v>13</v>
      </c>
      <c r="D256">
        <v>5</v>
      </c>
      <c r="E256">
        <v>0</v>
      </c>
      <c r="F256">
        <v>-5</v>
      </c>
      <c r="G256" t="s">
        <v>14</v>
      </c>
      <c r="H256" t="s">
        <v>15</v>
      </c>
      <c r="I256" t="s">
        <v>16</v>
      </c>
      <c r="J256" t="str">
        <f>TEXT(Data[[#This Row],[Date]],"mmm")</f>
        <v>Jun</v>
      </c>
      <c r="K256">
        <f>MONTH(Data[[#This Row],[Date]])</f>
        <v>6</v>
      </c>
      <c r="L256">
        <f>IF(Data[[#This Row],[Category Type]]="Income",Data[[#This Row],[Amount]],0)</f>
        <v>0</v>
      </c>
      <c r="M256">
        <f>IF(Data[[#This Row],[Category Type]]="Expense",-Data[[#This Row],[Amount]],0)</f>
        <v>5</v>
      </c>
    </row>
    <row r="257" spans="1:13" x14ac:dyDescent="0.25">
      <c r="A257" t="s">
        <v>4</v>
      </c>
      <c r="B257" s="1">
        <v>44359</v>
      </c>
      <c r="C257" t="s">
        <v>13</v>
      </c>
      <c r="D257">
        <v>5</v>
      </c>
      <c r="E257">
        <v>0</v>
      </c>
      <c r="F257">
        <v>-5</v>
      </c>
      <c r="G257" t="s">
        <v>14</v>
      </c>
      <c r="H257" t="s">
        <v>15</v>
      </c>
      <c r="I257" t="s">
        <v>16</v>
      </c>
      <c r="J257" t="str">
        <f>TEXT(Data[[#This Row],[Date]],"mmm")</f>
        <v>Jun</v>
      </c>
      <c r="K257">
        <f>MONTH(Data[[#This Row],[Date]])</f>
        <v>6</v>
      </c>
      <c r="L257">
        <f>IF(Data[[#This Row],[Category Type]]="Income",Data[[#This Row],[Amount]],0)</f>
        <v>0</v>
      </c>
      <c r="M257">
        <f>IF(Data[[#This Row],[Category Type]]="Expense",-Data[[#This Row],[Amount]],0)</f>
        <v>5</v>
      </c>
    </row>
    <row r="258" spans="1:13" x14ac:dyDescent="0.25">
      <c r="A258" t="s">
        <v>4</v>
      </c>
      <c r="B258" s="1">
        <v>44360</v>
      </c>
      <c r="C258" t="s">
        <v>23</v>
      </c>
      <c r="D258">
        <v>140.19999999999999</v>
      </c>
      <c r="E258">
        <v>0</v>
      </c>
      <c r="F258">
        <v>-140.19999999999999</v>
      </c>
      <c r="G258" t="s">
        <v>24</v>
      </c>
      <c r="H258" t="s">
        <v>19</v>
      </c>
      <c r="I258" t="s">
        <v>16</v>
      </c>
      <c r="J258" t="str">
        <f>TEXT(Data[[#This Row],[Date]],"mmm")</f>
        <v>Jun</v>
      </c>
      <c r="K258">
        <f>MONTH(Data[[#This Row],[Date]])</f>
        <v>6</v>
      </c>
      <c r="L258">
        <f>IF(Data[[#This Row],[Category Type]]="Income",Data[[#This Row],[Amount]],0)</f>
        <v>0</v>
      </c>
      <c r="M258">
        <f>IF(Data[[#This Row],[Category Type]]="Expense",-Data[[#This Row],[Amount]],0)</f>
        <v>140.19999999999999</v>
      </c>
    </row>
    <row r="259" spans="1:13" x14ac:dyDescent="0.25">
      <c r="A259" t="s">
        <v>4</v>
      </c>
      <c r="B259" s="1">
        <v>44360</v>
      </c>
      <c r="C259" t="s">
        <v>13</v>
      </c>
      <c r="D259">
        <v>5</v>
      </c>
      <c r="E259">
        <v>0</v>
      </c>
      <c r="F259">
        <v>-5</v>
      </c>
      <c r="G259" t="s">
        <v>14</v>
      </c>
      <c r="H259" t="s">
        <v>15</v>
      </c>
      <c r="I259" t="s">
        <v>16</v>
      </c>
      <c r="J259" t="str">
        <f>TEXT(Data[[#This Row],[Date]],"mmm")</f>
        <v>Jun</v>
      </c>
      <c r="K259">
        <f>MONTH(Data[[#This Row],[Date]])</f>
        <v>6</v>
      </c>
      <c r="L259">
        <f>IF(Data[[#This Row],[Category Type]]="Income",Data[[#This Row],[Amount]],0)</f>
        <v>0</v>
      </c>
      <c r="M259">
        <f>IF(Data[[#This Row],[Category Type]]="Expense",-Data[[#This Row],[Amount]],0)</f>
        <v>5</v>
      </c>
    </row>
    <row r="260" spans="1:13" x14ac:dyDescent="0.25">
      <c r="A260" t="s">
        <v>4</v>
      </c>
      <c r="B260" s="1">
        <v>44361</v>
      </c>
      <c r="C260" t="s">
        <v>13</v>
      </c>
      <c r="D260">
        <v>5</v>
      </c>
      <c r="E260">
        <v>0</v>
      </c>
      <c r="F260">
        <v>-5</v>
      </c>
      <c r="G260" t="s">
        <v>14</v>
      </c>
      <c r="H260" t="s">
        <v>15</v>
      </c>
      <c r="I260" t="s">
        <v>16</v>
      </c>
      <c r="J260" t="str">
        <f>TEXT(Data[[#This Row],[Date]],"mmm")</f>
        <v>Jun</v>
      </c>
      <c r="K260">
        <f>MONTH(Data[[#This Row],[Date]])</f>
        <v>6</v>
      </c>
      <c r="L260">
        <f>IF(Data[[#This Row],[Category Type]]="Income",Data[[#This Row],[Amount]],0)</f>
        <v>0</v>
      </c>
      <c r="M260">
        <f>IF(Data[[#This Row],[Category Type]]="Expense",-Data[[#This Row],[Amount]],0)</f>
        <v>5</v>
      </c>
    </row>
    <row r="261" spans="1:13" x14ac:dyDescent="0.25">
      <c r="A261" t="s">
        <v>4</v>
      </c>
      <c r="B261" s="1">
        <v>44361</v>
      </c>
      <c r="C261" t="s">
        <v>29</v>
      </c>
      <c r="D261">
        <v>44.9</v>
      </c>
      <c r="E261">
        <v>0</v>
      </c>
      <c r="F261">
        <v>-44.9</v>
      </c>
      <c r="G261" t="s">
        <v>21</v>
      </c>
      <c r="H261" t="s">
        <v>30</v>
      </c>
      <c r="I261" t="s">
        <v>16</v>
      </c>
      <c r="J261" t="str">
        <f>TEXT(Data[[#This Row],[Date]],"mmm")</f>
        <v>Jun</v>
      </c>
      <c r="K261">
        <f>MONTH(Data[[#This Row],[Date]])</f>
        <v>6</v>
      </c>
      <c r="L261">
        <f>IF(Data[[#This Row],[Category Type]]="Income",Data[[#This Row],[Amount]],0)</f>
        <v>0</v>
      </c>
      <c r="M261">
        <f>IF(Data[[#This Row],[Category Type]]="Expense",-Data[[#This Row],[Amount]],0)</f>
        <v>44.9</v>
      </c>
    </row>
    <row r="262" spans="1:13" x14ac:dyDescent="0.25">
      <c r="A262" t="s">
        <v>4</v>
      </c>
      <c r="B262" s="1">
        <v>44361</v>
      </c>
      <c r="C262" t="s">
        <v>31</v>
      </c>
      <c r="D262">
        <v>102.9</v>
      </c>
      <c r="E262">
        <v>0</v>
      </c>
      <c r="F262">
        <v>-102.9</v>
      </c>
      <c r="G262" t="s">
        <v>32</v>
      </c>
      <c r="H262" t="s">
        <v>30</v>
      </c>
      <c r="I262" t="s">
        <v>16</v>
      </c>
      <c r="J262" t="str">
        <f>TEXT(Data[[#This Row],[Date]],"mmm")</f>
        <v>Jun</v>
      </c>
      <c r="K262">
        <f>MONTH(Data[[#This Row],[Date]])</f>
        <v>6</v>
      </c>
      <c r="L262">
        <f>IF(Data[[#This Row],[Category Type]]="Income",Data[[#This Row],[Amount]],0)</f>
        <v>0</v>
      </c>
      <c r="M262">
        <f>IF(Data[[#This Row],[Category Type]]="Expense",-Data[[#This Row],[Amount]],0)</f>
        <v>102.9</v>
      </c>
    </row>
    <row r="263" spans="1:13" x14ac:dyDescent="0.25">
      <c r="A263" t="s">
        <v>4</v>
      </c>
      <c r="B263" s="1">
        <v>44361</v>
      </c>
      <c r="C263" t="s">
        <v>33</v>
      </c>
      <c r="D263">
        <v>56.9</v>
      </c>
      <c r="E263">
        <v>0</v>
      </c>
      <c r="F263">
        <v>-56.9</v>
      </c>
      <c r="G263" t="s">
        <v>34</v>
      </c>
      <c r="H263" t="s">
        <v>15</v>
      </c>
      <c r="I263" t="s">
        <v>16</v>
      </c>
      <c r="J263" t="str">
        <f>TEXT(Data[[#This Row],[Date]],"mmm")</f>
        <v>Jun</v>
      </c>
      <c r="K263">
        <f>MONTH(Data[[#This Row],[Date]])</f>
        <v>6</v>
      </c>
      <c r="L263">
        <f>IF(Data[[#This Row],[Category Type]]="Income",Data[[#This Row],[Amount]],0)</f>
        <v>0</v>
      </c>
      <c r="M263">
        <f>IF(Data[[#This Row],[Category Type]]="Expense",-Data[[#This Row],[Amount]],0)</f>
        <v>56.9</v>
      </c>
    </row>
    <row r="264" spans="1:13" x14ac:dyDescent="0.25">
      <c r="A264" t="s">
        <v>4</v>
      </c>
      <c r="B264" s="1">
        <v>44362</v>
      </c>
      <c r="C264" t="s">
        <v>35</v>
      </c>
      <c r="D264">
        <v>33.1</v>
      </c>
      <c r="E264">
        <v>0</v>
      </c>
      <c r="F264">
        <v>-33.1</v>
      </c>
      <c r="G264" t="s">
        <v>36</v>
      </c>
      <c r="H264" t="s">
        <v>22</v>
      </c>
      <c r="I264" t="s">
        <v>16</v>
      </c>
      <c r="J264" t="str">
        <f>TEXT(Data[[#This Row],[Date]],"mmm")</f>
        <v>Jun</v>
      </c>
      <c r="K264">
        <f>MONTH(Data[[#This Row],[Date]])</f>
        <v>6</v>
      </c>
      <c r="L264">
        <f>IF(Data[[#This Row],[Category Type]]="Income",Data[[#This Row],[Amount]],0)</f>
        <v>0</v>
      </c>
      <c r="M264">
        <f>IF(Data[[#This Row],[Category Type]]="Expense",-Data[[#This Row],[Amount]],0)</f>
        <v>33.1</v>
      </c>
    </row>
    <row r="265" spans="1:13" x14ac:dyDescent="0.25">
      <c r="A265" t="s">
        <v>9</v>
      </c>
      <c r="B265" s="1">
        <v>44363</v>
      </c>
      <c r="C265" t="s">
        <v>37</v>
      </c>
      <c r="D265">
        <v>30</v>
      </c>
      <c r="E265">
        <v>0</v>
      </c>
      <c r="F265">
        <v>-30</v>
      </c>
      <c r="G265" t="s">
        <v>38</v>
      </c>
      <c r="H265" t="s">
        <v>30</v>
      </c>
      <c r="I265" t="s">
        <v>16</v>
      </c>
      <c r="J265" t="str">
        <f>TEXT(Data[[#This Row],[Date]],"mmm")</f>
        <v>Jun</v>
      </c>
      <c r="K265">
        <f>MONTH(Data[[#This Row],[Date]])</f>
        <v>6</v>
      </c>
      <c r="L265">
        <f>IF(Data[[#This Row],[Category Type]]="Income",Data[[#This Row],[Amount]],0)</f>
        <v>0</v>
      </c>
      <c r="M265">
        <f>IF(Data[[#This Row],[Category Type]]="Expense",-Data[[#This Row],[Amount]],0)</f>
        <v>30</v>
      </c>
    </row>
    <row r="266" spans="1:13" x14ac:dyDescent="0.25">
      <c r="A266" t="s">
        <v>4</v>
      </c>
      <c r="B266" s="1">
        <v>44363</v>
      </c>
      <c r="C266" t="s">
        <v>13</v>
      </c>
      <c r="D266">
        <v>5</v>
      </c>
      <c r="E266">
        <v>0</v>
      </c>
      <c r="F266">
        <v>-5</v>
      </c>
      <c r="G266" t="s">
        <v>14</v>
      </c>
      <c r="H266" t="s">
        <v>15</v>
      </c>
      <c r="I266" t="s">
        <v>16</v>
      </c>
      <c r="J266" t="str">
        <f>TEXT(Data[[#This Row],[Date]],"mmm")</f>
        <v>Jun</v>
      </c>
      <c r="K266">
        <f>MONTH(Data[[#This Row],[Date]])</f>
        <v>6</v>
      </c>
      <c r="L266">
        <f>IF(Data[[#This Row],[Category Type]]="Income",Data[[#This Row],[Amount]],0)</f>
        <v>0</v>
      </c>
      <c r="M266">
        <f>IF(Data[[#This Row],[Category Type]]="Expense",-Data[[#This Row],[Amount]],0)</f>
        <v>5</v>
      </c>
    </row>
    <row r="267" spans="1:13" x14ac:dyDescent="0.25">
      <c r="A267" t="s">
        <v>4</v>
      </c>
      <c r="B267" s="1">
        <v>44364</v>
      </c>
      <c r="C267" t="s">
        <v>13</v>
      </c>
      <c r="D267">
        <v>5</v>
      </c>
      <c r="E267">
        <v>0</v>
      </c>
      <c r="F267">
        <v>-5</v>
      </c>
      <c r="G267" t="s">
        <v>14</v>
      </c>
      <c r="H267" t="s">
        <v>15</v>
      </c>
      <c r="I267" t="s">
        <v>16</v>
      </c>
      <c r="J267" t="str">
        <f>TEXT(Data[[#This Row],[Date]],"mmm")</f>
        <v>Jun</v>
      </c>
      <c r="K267">
        <f>MONTH(Data[[#This Row],[Date]])</f>
        <v>6</v>
      </c>
      <c r="L267">
        <f>IF(Data[[#This Row],[Category Type]]="Income",Data[[#This Row],[Amount]],0)</f>
        <v>0</v>
      </c>
      <c r="M267">
        <f>IF(Data[[#This Row],[Category Type]]="Expense",-Data[[#This Row],[Amount]],0)</f>
        <v>5</v>
      </c>
    </row>
    <row r="268" spans="1:13" x14ac:dyDescent="0.25">
      <c r="A268" t="s">
        <v>9</v>
      </c>
      <c r="B268" s="1">
        <v>44364</v>
      </c>
      <c r="C268" t="s">
        <v>42</v>
      </c>
      <c r="D268">
        <v>40</v>
      </c>
      <c r="E268">
        <v>0</v>
      </c>
      <c r="F268">
        <v>-40</v>
      </c>
      <c r="G268" t="s">
        <v>43</v>
      </c>
      <c r="H268" t="s">
        <v>19</v>
      </c>
      <c r="I268" t="s">
        <v>16</v>
      </c>
      <c r="J268" t="str">
        <f>TEXT(Data[[#This Row],[Date]],"mmm")</f>
        <v>Jun</v>
      </c>
      <c r="K268">
        <f>MONTH(Data[[#This Row],[Date]])</f>
        <v>6</v>
      </c>
      <c r="L268">
        <f>IF(Data[[#This Row],[Category Type]]="Income",Data[[#This Row],[Amount]],0)</f>
        <v>0</v>
      </c>
      <c r="M268">
        <f>IF(Data[[#This Row],[Category Type]]="Expense",-Data[[#This Row],[Amount]],0)</f>
        <v>40</v>
      </c>
    </row>
    <row r="269" spans="1:13" x14ac:dyDescent="0.25">
      <c r="A269" t="s">
        <v>4</v>
      </c>
      <c r="B269" s="1">
        <v>44365</v>
      </c>
      <c r="C269" t="s">
        <v>44</v>
      </c>
      <c r="D269">
        <v>50.1</v>
      </c>
      <c r="E269">
        <v>0</v>
      </c>
      <c r="F269">
        <v>-50.1</v>
      </c>
      <c r="G269" t="s">
        <v>45</v>
      </c>
      <c r="H269" t="s">
        <v>30</v>
      </c>
      <c r="I269" t="s">
        <v>16</v>
      </c>
      <c r="J269" t="str">
        <f>TEXT(Data[[#This Row],[Date]],"mmm")</f>
        <v>Jun</v>
      </c>
      <c r="K269">
        <f>MONTH(Data[[#This Row],[Date]])</f>
        <v>6</v>
      </c>
      <c r="L269">
        <f>IF(Data[[#This Row],[Category Type]]="Income",Data[[#This Row],[Amount]],0)</f>
        <v>0</v>
      </c>
      <c r="M269">
        <f>IF(Data[[#This Row],[Category Type]]="Expense",-Data[[#This Row],[Amount]],0)</f>
        <v>50.1</v>
      </c>
    </row>
    <row r="270" spans="1:13" x14ac:dyDescent="0.25">
      <c r="A270" t="s">
        <v>4</v>
      </c>
      <c r="B270" s="1">
        <v>44365</v>
      </c>
      <c r="C270" t="s">
        <v>46</v>
      </c>
      <c r="D270">
        <v>35</v>
      </c>
      <c r="E270">
        <v>0</v>
      </c>
      <c r="F270">
        <v>-35</v>
      </c>
      <c r="G270" t="s">
        <v>21</v>
      </c>
      <c r="H270" t="s">
        <v>30</v>
      </c>
      <c r="I270" t="s">
        <v>16</v>
      </c>
      <c r="J270" t="str">
        <f>TEXT(Data[[#This Row],[Date]],"mmm")</f>
        <v>Jun</v>
      </c>
      <c r="K270">
        <f>MONTH(Data[[#This Row],[Date]])</f>
        <v>6</v>
      </c>
      <c r="L270">
        <f>IF(Data[[#This Row],[Category Type]]="Income",Data[[#This Row],[Amount]],0)</f>
        <v>0</v>
      </c>
      <c r="M270">
        <f>IF(Data[[#This Row],[Category Type]]="Expense",-Data[[#This Row],[Amount]],0)</f>
        <v>35</v>
      </c>
    </row>
    <row r="271" spans="1:13" x14ac:dyDescent="0.25">
      <c r="A271" t="s">
        <v>4</v>
      </c>
      <c r="B271" s="1">
        <v>44365</v>
      </c>
      <c r="C271" t="s">
        <v>13</v>
      </c>
      <c r="D271">
        <v>5</v>
      </c>
      <c r="E271">
        <v>0</v>
      </c>
      <c r="F271">
        <v>-5</v>
      </c>
      <c r="G271" t="s">
        <v>14</v>
      </c>
      <c r="H271" t="s">
        <v>15</v>
      </c>
      <c r="I271" t="s">
        <v>16</v>
      </c>
      <c r="J271" t="str">
        <f>TEXT(Data[[#This Row],[Date]],"mmm")</f>
        <v>Jun</v>
      </c>
      <c r="K271">
        <f>MONTH(Data[[#This Row],[Date]])</f>
        <v>6</v>
      </c>
      <c r="L271">
        <f>IF(Data[[#This Row],[Category Type]]="Income",Data[[#This Row],[Amount]],0)</f>
        <v>0</v>
      </c>
      <c r="M271">
        <f>IF(Data[[#This Row],[Category Type]]="Expense",-Data[[#This Row],[Amount]],0)</f>
        <v>5</v>
      </c>
    </row>
    <row r="272" spans="1:13" x14ac:dyDescent="0.25">
      <c r="A272" t="s">
        <v>4</v>
      </c>
      <c r="B272" s="1">
        <v>44366</v>
      </c>
      <c r="C272" t="s">
        <v>13</v>
      </c>
      <c r="D272">
        <v>5</v>
      </c>
      <c r="E272">
        <v>0</v>
      </c>
      <c r="F272">
        <v>-5</v>
      </c>
      <c r="G272" t="s">
        <v>14</v>
      </c>
      <c r="H272" t="s">
        <v>15</v>
      </c>
      <c r="I272" t="s">
        <v>16</v>
      </c>
      <c r="J272" t="str">
        <f>TEXT(Data[[#This Row],[Date]],"mmm")</f>
        <v>Jun</v>
      </c>
      <c r="K272">
        <f>MONTH(Data[[#This Row],[Date]])</f>
        <v>6</v>
      </c>
      <c r="L272">
        <f>IF(Data[[#This Row],[Category Type]]="Income",Data[[#This Row],[Amount]],0)</f>
        <v>0</v>
      </c>
      <c r="M272">
        <f>IF(Data[[#This Row],[Category Type]]="Expense",-Data[[#This Row],[Amount]],0)</f>
        <v>5</v>
      </c>
    </row>
    <row r="273" spans="1:13" x14ac:dyDescent="0.25">
      <c r="A273" t="s">
        <v>4</v>
      </c>
      <c r="B273" s="1">
        <v>44367</v>
      </c>
      <c r="C273" t="s">
        <v>13</v>
      </c>
      <c r="D273">
        <v>5</v>
      </c>
      <c r="E273">
        <v>0</v>
      </c>
      <c r="F273">
        <v>-5</v>
      </c>
      <c r="G273" t="s">
        <v>14</v>
      </c>
      <c r="H273" t="s">
        <v>15</v>
      </c>
      <c r="I273" t="s">
        <v>16</v>
      </c>
      <c r="J273" t="str">
        <f>TEXT(Data[[#This Row],[Date]],"mmm")</f>
        <v>Jun</v>
      </c>
      <c r="K273">
        <f>MONTH(Data[[#This Row],[Date]])</f>
        <v>6</v>
      </c>
      <c r="L273">
        <f>IF(Data[[#This Row],[Category Type]]="Income",Data[[#This Row],[Amount]],0)</f>
        <v>0</v>
      </c>
      <c r="M273">
        <f>IF(Data[[#This Row],[Category Type]]="Expense",-Data[[#This Row],[Amount]],0)</f>
        <v>5</v>
      </c>
    </row>
    <row r="274" spans="1:13" x14ac:dyDescent="0.25">
      <c r="A274" t="s">
        <v>4</v>
      </c>
      <c r="B274" s="1">
        <v>44367</v>
      </c>
      <c r="C274" t="s">
        <v>23</v>
      </c>
      <c r="D274">
        <v>234</v>
      </c>
      <c r="E274">
        <v>0</v>
      </c>
      <c r="F274">
        <v>-234</v>
      </c>
      <c r="G274" t="s">
        <v>24</v>
      </c>
      <c r="H274" t="s">
        <v>19</v>
      </c>
      <c r="I274" t="s">
        <v>16</v>
      </c>
      <c r="J274" t="str">
        <f>TEXT(Data[[#This Row],[Date]],"mmm")</f>
        <v>Jun</v>
      </c>
      <c r="K274">
        <f>MONTH(Data[[#This Row],[Date]])</f>
        <v>6</v>
      </c>
      <c r="L274">
        <f>IF(Data[[#This Row],[Category Type]]="Income",Data[[#This Row],[Amount]],0)</f>
        <v>0</v>
      </c>
      <c r="M274">
        <f>IF(Data[[#This Row],[Category Type]]="Expense",-Data[[#This Row],[Amount]],0)</f>
        <v>234</v>
      </c>
    </row>
    <row r="275" spans="1:13" x14ac:dyDescent="0.25">
      <c r="A275" t="s">
        <v>4</v>
      </c>
      <c r="B275" s="1">
        <v>44368</v>
      </c>
      <c r="C275" t="s">
        <v>47</v>
      </c>
      <c r="D275">
        <v>42.1</v>
      </c>
      <c r="E275">
        <v>0</v>
      </c>
      <c r="F275">
        <v>-42.1</v>
      </c>
      <c r="G275" t="s">
        <v>34</v>
      </c>
      <c r="H275" t="s">
        <v>15</v>
      </c>
      <c r="I275" t="s">
        <v>16</v>
      </c>
      <c r="J275" t="str">
        <f>TEXT(Data[[#This Row],[Date]],"mmm")</f>
        <v>Jun</v>
      </c>
      <c r="K275">
        <f>MONTH(Data[[#This Row],[Date]])</f>
        <v>6</v>
      </c>
      <c r="L275">
        <f>IF(Data[[#This Row],[Category Type]]="Income",Data[[#This Row],[Amount]],0)</f>
        <v>0</v>
      </c>
      <c r="M275">
        <f>IF(Data[[#This Row],[Category Type]]="Expense",-Data[[#This Row],[Amount]],0)</f>
        <v>42.1</v>
      </c>
    </row>
    <row r="276" spans="1:13" x14ac:dyDescent="0.25">
      <c r="A276" t="s">
        <v>4</v>
      </c>
      <c r="B276" s="1">
        <v>44369</v>
      </c>
      <c r="C276" t="s">
        <v>48</v>
      </c>
      <c r="D276">
        <v>17.099999999999998</v>
      </c>
      <c r="E276">
        <v>0</v>
      </c>
      <c r="F276">
        <v>-17.099999999999998</v>
      </c>
      <c r="G276" t="s">
        <v>34</v>
      </c>
      <c r="H276" t="s">
        <v>15</v>
      </c>
      <c r="I276" t="s">
        <v>16</v>
      </c>
      <c r="J276" t="str">
        <f>TEXT(Data[[#This Row],[Date]],"mmm")</f>
        <v>Jun</v>
      </c>
      <c r="K276">
        <f>MONTH(Data[[#This Row],[Date]])</f>
        <v>6</v>
      </c>
      <c r="L276">
        <f>IF(Data[[#This Row],[Category Type]]="Income",Data[[#This Row],[Amount]],0)</f>
        <v>0</v>
      </c>
      <c r="M276">
        <f>IF(Data[[#This Row],[Category Type]]="Expense",-Data[[#This Row],[Amount]],0)</f>
        <v>17.099999999999998</v>
      </c>
    </row>
    <row r="277" spans="1:13" x14ac:dyDescent="0.25">
      <c r="A277" t="s">
        <v>9</v>
      </c>
      <c r="B277" s="1">
        <v>44370</v>
      </c>
      <c r="C277" t="s">
        <v>49</v>
      </c>
      <c r="D277">
        <v>55</v>
      </c>
      <c r="E277">
        <v>0</v>
      </c>
      <c r="F277">
        <v>-55</v>
      </c>
      <c r="G277" t="s">
        <v>50</v>
      </c>
      <c r="H277" t="s">
        <v>51</v>
      </c>
      <c r="I277" t="s">
        <v>16</v>
      </c>
      <c r="J277" t="str">
        <f>TEXT(Data[[#This Row],[Date]],"mmm")</f>
        <v>Jun</v>
      </c>
      <c r="K277">
        <f>MONTH(Data[[#This Row],[Date]])</f>
        <v>6</v>
      </c>
      <c r="L277">
        <f>IF(Data[[#This Row],[Category Type]]="Income",Data[[#This Row],[Amount]],0)</f>
        <v>0</v>
      </c>
      <c r="M277">
        <f>IF(Data[[#This Row],[Category Type]]="Expense",-Data[[#This Row],[Amount]],0)</f>
        <v>55</v>
      </c>
    </row>
    <row r="278" spans="1:13" x14ac:dyDescent="0.25">
      <c r="A278" t="s">
        <v>4</v>
      </c>
      <c r="B278" s="1">
        <v>44370</v>
      </c>
      <c r="C278" t="s">
        <v>27</v>
      </c>
      <c r="D278">
        <v>67.900000000000006</v>
      </c>
      <c r="E278">
        <v>0</v>
      </c>
      <c r="F278">
        <v>-67.900000000000006</v>
      </c>
      <c r="G278" t="s">
        <v>28</v>
      </c>
      <c r="H278" t="s">
        <v>22</v>
      </c>
      <c r="I278" t="s">
        <v>16</v>
      </c>
      <c r="J278" t="str">
        <f>TEXT(Data[[#This Row],[Date]],"mmm")</f>
        <v>Jun</v>
      </c>
      <c r="K278">
        <f>MONTH(Data[[#This Row],[Date]])</f>
        <v>6</v>
      </c>
      <c r="L278">
        <f>IF(Data[[#This Row],[Category Type]]="Income",Data[[#This Row],[Amount]],0)</f>
        <v>0</v>
      </c>
      <c r="M278">
        <f>IF(Data[[#This Row],[Category Type]]="Expense",-Data[[#This Row],[Amount]],0)</f>
        <v>67.900000000000006</v>
      </c>
    </row>
    <row r="279" spans="1:13" x14ac:dyDescent="0.25">
      <c r="A279" t="s">
        <v>4</v>
      </c>
      <c r="B279" s="1">
        <v>44370</v>
      </c>
      <c r="C279" t="s">
        <v>13</v>
      </c>
      <c r="D279">
        <v>5</v>
      </c>
      <c r="E279">
        <v>0</v>
      </c>
      <c r="F279">
        <v>-5</v>
      </c>
      <c r="G279" t="s">
        <v>14</v>
      </c>
      <c r="H279" t="s">
        <v>15</v>
      </c>
      <c r="I279" t="s">
        <v>16</v>
      </c>
      <c r="J279" t="str">
        <f>TEXT(Data[[#This Row],[Date]],"mmm")</f>
        <v>Jun</v>
      </c>
      <c r="K279">
        <f>MONTH(Data[[#This Row],[Date]])</f>
        <v>6</v>
      </c>
      <c r="L279">
        <f>IF(Data[[#This Row],[Category Type]]="Income",Data[[#This Row],[Amount]],0)</f>
        <v>0</v>
      </c>
      <c r="M279">
        <f>IF(Data[[#This Row],[Category Type]]="Expense",-Data[[#This Row],[Amount]],0)</f>
        <v>5</v>
      </c>
    </row>
    <row r="280" spans="1:13" x14ac:dyDescent="0.25">
      <c r="A280" t="s">
        <v>4</v>
      </c>
      <c r="B280" s="1">
        <v>44371</v>
      </c>
      <c r="C280" t="s">
        <v>13</v>
      </c>
      <c r="D280">
        <v>5</v>
      </c>
      <c r="E280">
        <v>0</v>
      </c>
      <c r="F280">
        <v>-5</v>
      </c>
      <c r="G280" t="s">
        <v>14</v>
      </c>
      <c r="H280" t="s">
        <v>15</v>
      </c>
      <c r="I280" t="s">
        <v>16</v>
      </c>
      <c r="J280" t="str">
        <f>TEXT(Data[[#This Row],[Date]],"mmm")</f>
        <v>Jun</v>
      </c>
      <c r="K280">
        <f>MONTH(Data[[#This Row],[Date]])</f>
        <v>6</v>
      </c>
      <c r="L280">
        <f>IF(Data[[#This Row],[Category Type]]="Income",Data[[#This Row],[Amount]],0)</f>
        <v>0</v>
      </c>
      <c r="M280">
        <f>IF(Data[[#This Row],[Category Type]]="Expense",-Data[[#This Row],[Amount]],0)</f>
        <v>5</v>
      </c>
    </row>
    <row r="281" spans="1:13" x14ac:dyDescent="0.25">
      <c r="A281" t="s">
        <v>4</v>
      </c>
      <c r="B281" s="1">
        <v>44372</v>
      </c>
      <c r="C281" t="s">
        <v>13</v>
      </c>
      <c r="D281">
        <v>5</v>
      </c>
      <c r="E281">
        <v>0</v>
      </c>
      <c r="F281">
        <v>-5</v>
      </c>
      <c r="G281" t="s">
        <v>14</v>
      </c>
      <c r="H281" t="s">
        <v>15</v>
      </c>
      <c r="I281" t="s">
        <v>16</v>
      </c>
      <c r="J281" t="str">
        <f>TEXT(Data[[#This Row],[Date]],"mmm")</f>
        <v>Jun</v>
      </c>
      <c r="K281">
        <f>MONTH(Data[[#This Row],[Date]])</f>
        <v>6</v>
      </c>
      <c r="L281">
        <f>IF(Data[[#This Row],[Category Type]]="Income",Data[[#This Row],[Amount]],0)</f>
        <v>0</v>
      </c>
      <c r="M281">
        <f>IF(Data[[#This Row],[Category Type]]="Expense",-Data[[#This Row],[Amount]],0)</f>
        <v>5</v>
      </c>
    </row>
    <row r="282" spans="1:13" x14ac:dyDescent="0.25">
      <c r="A282" t="s">
        <v>4</v>
      </c>
      <c r="B282" s="1">
        <v>44373</v>
      </c>
      <c r="C282" t="s">
        <v>13</v>
      </c>
      <c r="D282">
        <v>5</v>
      </c>
      <c r="E282">
        <v>0</v>
      </c>
      <c r="F282">
        <v>-5</v>
      </c>
      <c r="G282" t="s">
        <v>14</v>
      </c>
      <c r="H282" t="s">
        <v>15</v>
      </c>
      <c r="I282" t="s">
        <v>16</v>
      </c>
      <c r="J282" t="str">
        <f>TEXT(Data[[#This Row],[Date]],"mmm")</f>
        <v>Jun</v>
      </c>
      <c r="K282">
        <f>MONTH(Data[[#This Row],[Date]])</f>
        <v>6</v>
      </c>
      <c r="L282">
        <f>IF(Data[[#This Row],[Category Type]]="Income",Data[[#This Row],[Amount]],0)</f>
        <v>0</v>
      </c>
      <c r="M282">
        <f>IF(Data[[#This Row],[Category Type]]="Expense",-Data[[#This Row],[Amount]],0)</f>
        <v>5</v>
      </c>
    </row>
    <row r="283" spans="1:13" x14ac:dyDescent="0.25">
      <c r="A283" t="s">
        <v>4</v>
      </c>
      <c r="B283" s="1">
        <v>44374</v>
      </c>
      <c r="C283" t="s">
        <v>13</v>
      </c>
      <c r="D283">
        <v>5</v>
      </c>
      <c r="E283">
        <v>0</v>
      </c>
      <c r="F283">
        <v>-5</v>
      </c>
      <c r="G283" t="s">
        <v>14</v>
      </c>
      <c r="H283" t="s">
        <v>15</v>
      </c>
      <c r="I283" t="s">
        <v>16</v>
      </c>
      <c r="J283" t="str">
        <f>TEXT(Data[[#This Row],[Date]],"mmm")</f>
        <v>Jun</v>
      </c>
      <c r="K283">
        <f>MONTH(Data[[#This Row],[Date]])</f>
        <v>6</v>
      </c>
      <c r="L283">
        <f>IF(Data[[#This Row],[Category Type]]="Income",Data[[#This Row],[Amount]],0)</f>
        <v>0</v>
      </c>
      <c r="M283">
        <f>IF(Data[[#This Row],[Category Type]]="Expense",-Data[[#This Row],[Amount]],0)</f>
        <v>5</v>
      </c>
    </row>
    <row r="284" spans="1:13" x14ac:dyDescent="0.25">
      <c r="A284" t="s">
        <v>4</v>
      </c>
      <c r="B284" s="1">
        <v>44374</v>
      </c>
      <c r="C284" t="s">
        <v>23</v>
      </c>
      <c r="D284">
        <v>166.9</v>
      </c>
      <c r="E284">
        <v>0</v>
      </c>
      <c r="F284">
        <v>-166.9</v>
      </c>
      <c r="G284" t="s">
        <v>24</v>
      </c>
      <c r="H284" t="s">
        <v>19</v>
      </c>
      <c r="I284" t="s">
        <v>16</v>
      </c>
      <c r="J284" t="str">
        <f>TEXT(Data[[#This Row],[Date]],"mmm")</f>
        <v>Jun</v>
      </c>
      <c r="K284">
        <f>MONTH(Data[[#This Row],[Date]])</f>
        <v>6</v>
      </c>
      <c r="L284">
        <f>IF(Data[[#This Row],[Category Type]]="Income",Data[[#This Row],[Amount]],0)</f>
        <v>0</v>
      </c>
      <c r="M284">
        <f>IF(Data[[#This Row],[Category Type]]="Expense",-Data[[#This Row],[Amount]],0)</f>
        <v>166.9</v>
      </c>
    </row>
    <row r="285" spans="1:13" x14ac:dyDescent="0.25">
      <c r="A285" t="s">
        <v>4</v>
      </c>
      <c r="B285" s="1">
        <v>44375</v>
      </c>
      <c r="C285" t="s">
        <v>52</v>
      </c>
      <c r="D285">
        <v>129.9</v>
      </c>
      <c r="E285">
        <v>0</v>
      </c>
      <c r="F285">
        <v>-129.9</v>
      </c>
      <c r="G285" t="s">
        <v>32</v>
      </c>
      <c r="H285" t="s">
        <v>30</v>
      </c>
      <c r="I285" t="s">
        <v>16</v>
      </c>
      <c r="J285" t="str">
        <f>TEXT(Data[[#This Row],[Date]],"mmm")</f>
        <v>Jun</v>
      </c>
      <c r="K285">
        <f>MONTH(Data[[#This Row],[Date]])</f>
        <v>6</v>
      </c>
      <c r="L285">
        <f>IF(Data[[#This Row],[Category Type]]="Income",Data[[#This Row],[Amount]],0)</f>
        <v>0</v>
      </c>
      <c r="M285">
        <f>IF(Data[[#This Row],[Category Type]]="Expense",-Data[[#This Row],[Amount]],0)</f>
        <v>129.9</v>
      </c>
    </row>
    <row r="286" spans="1:13" x14ac:dyDescent="0.25">
      <c r="A286" t="s">
        <v>4</v>
      </c>
      <c r="B286" s="1">
        <v>44375</v>
      </c>
      <c r="C286" t="s">
        <v>53</v>
      </c>
      <c r="D286">
        <v>180.29999999999998</v>
      </c>
      <c r="E286">
        <v>0</v>
      </c>
      <c r="F286">
        <v>-180.29999999999998</v>
      </c>
      <c r="G286" t="s">
        <v>21</v>
      </c>
      <c r="H286" t="s">
        <v>30</v>
      </c>
      <c r="I286" t="s">
        <v>16</v>
      </c>
      <c r="J286" t="str">
        <f>TEXT(Data[[#This Row],[Date]],"mmm")</f>
        <v>Jun</v>
      </c>
      <c r="K286">
        <f>MONTH(Data[[#This Row],[Date]])</f>
        <v>6</v>
      </c>
      <c r="L286">
        <f>IF(Data[[#This Row],[Category Type]]="Income",Data[[#This Row],[Amount]],0)</f>
        <v>0</v>
      </c>
      <c r="M286">
        <f>IF(Data[[#This Row],[Category Type]]="Expense",-Data[[#This Row],[Amount]],0)</f>
        <v>180.29999999999998</v>
      </c>
    </row>
    <row r="287" spans="1:13" x14ac:dyDescent="0.25">
      <c r="A287" t="s">
        <v>4</v>
      </c>
      <c r="B287" s="1">
        <v>44376</v>
      </c>
      <c r="C287" t="s">
        <v>31</v>
      </c>
      <c r="D287">
        <v>150.1</v>
      </c>
      <c r="E287">
        <v>0</v>
      </c>
      <c r="F287">
        <v>-150.1</v>
      </c>
      <c r="G287" t="s">
        <v>32</v>
      </c>
      <c r="H287" t="s">
        <v>30</v>
      </c>
      <c r="I287" t="s">
        <v>16</v>
      </c>
      <c r="J287" t="str">
        <f>TEXT(Data[[#This Row],[Date]],"mmm")</f>
        <v>Jun</v>
      </c>
      <c r="K287">
        <f>MONTH(Data[[#This Row],[Date]])</f>
        <v>6</v>
      </c>
      <c r="L287">
        <f>IF(Data[[#This Row],[Category Type]]="Income",Data[[#This Row],[Amount]],0)</f>
        <v>0</v>
      </c>
      <c r="M287">
        <f>IF(Data[[#This Row],[Category Type]]="Expense",-Data[[#This Row],[Amount]],0)</f>
        <v>150.1</v>
      </c>
    </row>
    <row r="288" spans="1:13" x14ac:dyDescent="0.25">
      <c r="A288" t="s">
        <v>4</v>
      </c>
      <c r="B288" s="1">
        <v>44376</v>
      </c>
      <c r="C288" t="s">
        <v>35</v>
      </c>
      <c r="D288">
        <v>28.200000000000003</v>
      </c>
      <c r="E288">
        <v>0</v>
      </c>
      <c r="F288">
        <v>-28.200000000000003</v>
      </c>
      <c r="G288" t="s">
        <v>36</v>
      </c>
      <c r="H288" t="s">
        <v>22</v>
      </c>
      <c r="I288" t="s">
        <v>16</v>
      </c>
      <c r="J288" t="str">
        <f>TEXT(Data[[#This Row],[Date]],"mmm")</f>
        <v>Jun</v>
      </c>
      <c r="K288">
        <f>MONTH(Data[[#This Row],[Date]])</f>
        <v>6</v>
      </c>
      <c r="L288">
        <f>IF(Data[[#This Row],[Category Type]]="Income",Data[[#This Row],[Amount]],0)</f>
        <v>0</v>
      </c>
      <c r="M288">
        <f>IF(Data[[#This Row],[Category Type]]="Expense",-Data[[#This Row],[Amount]],0)</f>
        <v>28.200000000000003</v>
      </c>
    </row>
    <row r="289" spans="1:13" x14ac:dyDescent="0.25">
      <c r="A289" t="s">
        <v>4</v>
      </c>
      <c r="B289" s="1">
        <v>44376</v>
      </c>
      <c r="C289" t="s">
        <v>57</v>
      </c>
      <c r="D289">
        <v>15</v>
      </c>
      <c r="E289">
        <v>0</v>
      </c>
      <c r="F289">
        <v>-15</v>
      </c>
      <c r="G289" t="s">
        <v>34</v>
      </c>
      <c r="H289" t="s">
        <v>15</v>
      </c>
      <c r="I289" t="s">
        <v>16</v>
      </c>
      <c r="J289" t="str">
        <f>TEXT(Data[[#This Row],[Date]],"mmm")</f>
        <v>Jun</v>
      </c>
      <c r="K289">
        <f>MONTH(Data[[#This Row],[Date]])</f>
        <v>6</v>
      </c>
      <c r="L289">
        <f>IF(Data[[#This Row],[Category Type]]="Income",Data[[#This Row],[Amount]],0)</f>
        <v>0</v>
      </c>
      <c r="M289">
        <f>IF(Data[[#This Row],[Category Type]]="Expense",-Data[[#This Row],[Amount]],0)</f>
        <v>15</v>
      </c>
    </row>
    <row r="290" spans="1:13" x14ac:dyDescent="0.25">
      <c r="A290" t="s">
        <v>4</v>
      </c>
      <c r="B290" s="1">
        <v>44377</v>
      </c>
      <c r="C290" t="s">
        <v>13</v>
      </c>
      <c r="D290">
        <v>5</v>
      </c>
      <c r="E290">
        <v>0</v>
      </c>
      <c r="F290">
        <v>-5</v>
      </c>
      <c r="G290" t="s">
        <v>14</v>
      </c>
      <c r="H290" t="s">
        <v>15</v>
      </c>
      <c r="I290" t="s">
        <v>16</v>
      </c>
      <c r="J290" t="str">
        <f>TEXT(Data[[#This Row],[Date]],"mmm")</f>
        <v>Jun</v>
      </c>
      <c r="K290">
        <f>MONTH(Data[[#This Row],[Date]])</f>
        <v>6</v>
      </c>
      <c r="L290">
        <f>IF(Data[[#This Row],[Category Type]]="Income",Data[[#This Row],[Amount]],0)</f>
        <v>0</v>
      </c>
      <c r="M290">
        <f>IF(Data[[#This Row],[Category Type]]="Expense",-Data[[#This Row],[Amount]],0)</f>
        <v>5</v>
      </c>
    </row>
    <row r="291" spans="1:13" x14ac:dyDescent="0.25">
      <c r="A291" t="s">
        <v>4</v>
      </c>
      <c r="B291" s="1">
        <v>44378</v>
      </c>
      <c r="C291" t="s">
        <v>13</v>
      </c>
      <c r="D291">
        <v>5</v>
      </c>
      <c r="E291">
        <v>0</v>
      </c>
      <c r="F291">
        <v>-5</v>
      </c>
      <c r="G291" t="s">
        <v>14</v>
      </c>
      <c r="H291" t="s">
        <v>15</v>
      </c>
      <c r="I291" t="s">
        <v>16</v>
      </c>
      <c r="J291" t="str">
        <f>TEXT(Data[[#This Row],[Date]],"mmm")</f>
        <v>Jul</v>
      </c>
      <c r="K291">
        <f>MONTH(Data[[#This Row],[Date]])</f>
        <v>7</v>
      </c>
      <c r="L291">
        <f>IF(Data[[#This Row],[Category Type]]="Income",Data[[#This Row],[Amount]],0)</f>
        <v>0</v>
      </c>
      <c r="M291">
        <f>IF(Data[[#This Row],[Category Type]]="Expense",-Data[[#This Row],[Amount]],0)</f>
        <v>5</v>
      </c>
    </row>
    <row r="292" spans="1:13" x14ac:dyDescent="0.25">
      <c r="A292" t="s">
        <v>9</v>
      </c>
      <c r="B292" s="1">
        <v>44379</v>
      </c>
      <c r="C292" t="s">
        <v>10</v>
      </c>
      <c r="D292">
        <v>0</v>
      </c>
      <c r="E292">
        <v>4000</v>
      </c>
      <c r="F292">
        <v>4000</v>
      </c>
      <c r="G292" t="s">
        <v>11</v>
      </c>
      <c r="H292" t="s">
        <v>11</v>
      </c>
      <c r="I292" t="s">
        <v>12</v>
      </c>
      <c r="J292" t="str">
        <f>TEXT(Data[[#This Row],[Date]],"mmm")</f>
        <v>Jul</v>
      </c>
      <c r="K292">
        <f>MONTH(Data[[#This Row],[Date]])</f>
        <v>7</v>
      </c>
      <c r="L292">
        <f>IF(Data[[#This Row],[Category Type]]="Income",Data[[#This Row],[Amount]],0)</f>
        <v>4000</v>
      </c>
      <c r="M292">
        <f>IF(Data[[#This Row],[Category Type]]="Expense",-Data[[#This Row],[Amount]],0)</f>
        <v>0</v>
      </c>
    </row>
    <row r="293" spans="1:13" x14ac:dyDescent="0.25">
      <c r="A293" t="s">
        <v>4</v>
      </c>
      <c r="B293" s="1">
        <v>44380</v>
      </c>
      <c r="C293" t="s">
        <v>13</v>
      </c>
      <c r="D293">
        <v>5</v>
      </c>
      <c r="E293">
        <v>0</v>
      </c>
      <c r="F293">
        <v>-5</v>
      </c>
      <c r="G293" t="s">
        <v>14</v>
      </c>
      <c r="H293" t="s">
        <v>15</v>
      </c>
      <c r="I293" t="s">
        <v>16</v>
      </c>
      <c r="J293" t="str">
        <f>TEXT(Data[[#This Row],[Date]],"mmm")</f>
        <v>Jul</v>
      </c>
      <c r="K293">
        <f>MONTH(Data[[#This Row],[Date]])</f>
        <v>7</v>
      </c>
      <c r="L293">
        <f>IF(Data[[#This Row],[Category Type]]="Income",Data[[#This Row],[Amount]],0)</f>
        <v>0</v>
      </c>
      <c r="M293">
        <f>IF(Data[[#This Row],[Category Type]]="Expense",-Data[[#This Row],[Amount]],0)</f>
        <v>5</v>
      </c>
    </row>
    <row r="294" spans="1:13" x14ac:dyDescent="0.25">
      <c r="A294" t="s">
        <v>9</v>
      </c>
      <c r="B294" s="1">
        <v>44382</v>
      </c>
      <c r="C294" t="s">
        <v>17</v>
      </c>
      <c r="D294">
        <v>900</v>
      </c>
      <c r="E294">
        <v>0</v>
      </c>
      <c r="F294">
        <v>-900</v>
      </c>
      <c r="G294" t="s">
        <v>18</v>
      </c>
      <c r="H294" t="s">
        <v>19</v>
      </c>
      <c r="I294" t="s">
        <v>16</v>
      </c>
      <c r="J294" t="str">
        <f>TEXT(Data[[#This Row],[Date]],"mmm")</f>
        <v>Jul</v>
      </c>
      <c r="K294">
        <f>MONTH(Data[[#This Row],[Date]])</f>
        <v>7</v>
      </c>
      <c r="L294">
        <f>IF(Data[[#This Row],[Category Type]]="Income",Data[[#This Row],[Amount]],0)</f>
        <v>0</v>
      </c>
      <c r="M294">
        <f>IF(Data[[#This Row],[Category Type]]="Expense",-Data[[#This Row],[Amount]],0)</f>
        <v>900</v>
      </c>
    </row>
    <row r="295" spans="1:13" x14ac:dyDescent="0.25">
      <c r="A295" t="s">
        <v>9</v>
      </c>
      <c r="B295" s="1">
        <v>44382</v>
      </c>
      <c r="C295" t="s">
        <v>20</v>
      </c>
      <c r="D295">
        <v>150</v>
      </c>
      <c r="E295">
        <v>0</v>
      </c>
      <c r="F295">
        <v>-150</v>
      </c>
      <c r="G295" t="s">
        <v>21</v>
      </c>
      <c r="H295" t="s">
        <v>22</v>
      </c>
      <c r="I295" t="s">
        <v>16</v>
      </c>
      <c r="J295" t="str">
        <f>TEXT(Data[[#This Row],[Date]],"mmm")</f>
        <v>Jul</v>
      </c>
      <c r="K295">
        <f>MONTH(Data[[#This Row],[Date]])</f>
        <v>7</v>
      </c>
      <c r="L295">
        <f>IF(Data[[#This Row],[Category Type]]="Income",Data[[#This Row],[Amount]],0)</f>
        <v>0</v>
      </c>
      <c r="M295">
        <f>IF(Data[[#This Row],[Category Type]]="Expense",-Data[[#This Row],[Amount]],0)</f>
        <v>150</v>
      </c>
    </row>
    <row r="296" spans="1:13" x14ac:dyDescent="0.25">
      <c r="A296" t="s">
        <v>4</v>
      </c>
      <c r="B296" s="1">
        <v>44382</v>
      </c>
      <c r="C296" t="s">
        <v>61</v>
      </c>
      <c r="D296">
        <v>15</v>
      </c>
      <c r="E296">
        <v>0</v>
      </c>
      <c r="F296">
        <v>-15</v>
      </c>
      <c r="G296" t="s">
        <v>34</v>
      </c>
      <c r="H296" t="s">
        <v>15</v>
      </c>
      <c r="I296" t="s">
        <v>16</v>
      </c>
      <c r="J296" t="str">
        <f>TEXT(Data[[#This Row],[Date]],"mmm")</f>
        <v>Jul</v>
      </c>
      <c r="K296">
        <f>MONTH(Data[[#This Row],[Date]])</f>
        <v>7</v>
      </c>
      <c r="L296">
        <f>IF(Data[[#This Row],[Category Type]]="Income",Data[[#This Row],[Amount]],0)</f>
        <v>0</v>
      </c>
      <c r="M296">
        <f>IF(Data[[#This Row],[Category Type]]="Expense",-Data[[#This Row],[Amount]],0)</f>
        <v>15</v>
      </c>
    </row>
    <row r="297" spans="1:13" x14ac:dyDescent="0.25">
      <c r="A297" t="s">
        <v>4</v>
      </c>
      <c r="B297" s="1">
        <v>44382</v>
      </c>
      <c r="C297" t="s">
        <v>13</v>
      </c>
      <c r="D297">
        <v>5</v>
      </c>
      <c r="E297">
        <v>0</v>
      </c>
      <c r="F297">
        <v>-5</v>
      </c>
      <c r="G297" t="s">
        <v>14</v>
      </c>
      <c r="H297" t="s">
        <v>15</v>
      </c>
      <c r="I297" t="s">
        <v>16</v>
      </c>
      <c r="J297" t="str">
        <f>TEXT(Data[[#This Row],[Date]],"mmm")</f>
        <v>Jul</v>
      </c>
      <c r="K297">
        <f>MONTH(Data[[#This Row],[Date]])</f>
        <v>7</v>
      </c>
      <c r="L297">
        <f>IF(Data[[#This Row],[Category Type]]="Income",Data[[#This Row],[Amount]],0)</f>
        <v>0</v>
      </c>
      <c r="M297">
        <f>IF(Data[[#This Row],[Category Type]]="Expense",-Data[[#This Row],[Amount]],0)</f>
        <v>5</v>
      </c>
    </row>
    <row r="298" spans="1:13" x14ac:dyDescent="0.25">
      <c r="A298" t="s">
        <v>4</v>
      </c>
      <c r="B298" s="1">
        <v>44383</v>
      </c>
      <c r="C298" t="s">
        <v>13</v>
      </c>
      <c r="D298">
        <v>5</v>
      </c>
      <c r="E298">
        <v>0</v>
      </c>
      <c r="F298">
        <v>-5</v>
      </c>
      <c r="G298" t="s">
        <v>14</v>
      </c>
      <c r="H298" t="s">
        <v>15</v>
      </c>
      <c r="I298" t="s">
        <v>16</v>
      </c>
      <c r="J298" t="str">
        <f>TEXT(Data[[#This Row],[Date]],"mmm")</f>
        <v>Jul</v>
      </c>
      <c r="K298">
        <f>MONTH(Data[[#This Row],[Date]])</f>
        <v>7</v>
      </c>
      <c r="L298">
        <f>IF(Data[[#This Row],[Category Type]]="Income",Data[[#This Row],[Amount]],0)</f>
        <v>0</v>
      </c>
      <c r="M298">
        <f>IF(Data[[#This Row],[Category Type]]="Expense",-Data[[#This Row],[Amount]],0)</f>
        <v>5</v>
      </c>
    </row>
    <row r="299" spans="1:13" x14ac:dyDescent="0.25">
      <c r="A299" t="s">
        <v>4</v>
      </c>
      <c r="B299" s="1">
        <v>44384</v>
      </c>
      <c r="C299" t="s">
        <v>13</v>
      </c>
      <c r="D299">
        <v>5</v>
      </c>
      <c r="E299">
        <v>0</v>
      </c>
      <c r="F299">
        <v>-5</v>
      </c>
      <c r="G299" t="s">
        <v>14</v>
      </c>
      <c r="H299" t="s">
        <v>15</v>
      </c>
      <c r="I299" t="s">
        <v>16</v>
      </c>
      <c r="J299" t="str">
        <f>TEXT(Data[[#This Row],[Date]],"mmm")</f>
        <v>Jul</v>
      </c>
      <c r="K299">
        <f>MONTH(Data[[#This Row],[Date]])</f>
        <v>7</v>
      </c>
      <c r="L299">
        <f>IF(Data[[#This Row],[Category Type]]="Income",Data[[#This Row],[Amount]],0)</f>
        <v>0</v>
      </c>
      <c r="M299">
        <f>IF(Data[[#This Row],[Category Type]]="Expense",-Data[[#This Row],[Amount]],0)</f>
        <v>5</v>
      </c>
    </row>
    <row r="300" spans="1:13" x14ac:dyDescent="0.25">
      <c r="A300" t="s">
        <v>4</v>
      </c>
      <c r="B300" s="1">
        <v>44384</v>
      </c>
      <c r="C300" t="s">
        <v>23</v>
      </c>
      <c r="D300">
        <v>180</v>
      </c>
      <c r="E300">
        <v>0</v>
      </c>
      <c r="F300">
        <v>-180</v>
      </c>
      <c r="G300" t="s">
        <v>24</v>
      </c>
      <c r="H300" t="s">
        <v>19</v>
      </c>
      <c r="I300" t="s">
        <v>16</v>
      </c>
      <c r="J300" t="str">
        <f>TEXT(Data[[#This Row],[Date]],"mmm")</f>
        <v>Jul</v>
      </c>
      <c r="K300">
        <f>MONTH(Data[[#This Row],[Date]])</f>
        <v>7</v>
      </c>
      <c r="L300">
        <f>IF(Data[[#This Row],[Category Type]]="Income",Data[[#This Row],[Amount]],0)</f>
        <v>0</v>
      </c>
      <c r="M300">
        <f>IF(Data[[#This Row],[Category Type]]="Expense",-Data[[#This Row],[Amount]],0)</f>
        <v>180</v>
      </c>
    </row>
    <row r="301" spans="1:13" x14ac:dyDescent="0.25">
      <c r="A301" t="s">
        <v>9</v>
      </c>
      <c r="B301" s="1">
        <v>44387</v>
      </c>
      <c r="C301" t="s">
        <v>25</v>
      </c>
      <c r="D301">
        <v>56.1</v>
      </c>
      <c r="E301">
        <v>0</v>
      </c>
      <c r="F301">
        <v>-56.1</v>
      </c>
      <c r="G301" t="s">
        <v>26</v>
      </c>
      <c r="H301" t="s">
        <v>19</v>
      </c>
      <c r="I301" t="s">
        <v>16</v>
      </c>
      <c r="J301" t="str">
        <f>TEXT(Data[[#This Row],[Date]],"mmm")</f>
        <v>Jul</v>
      </c>
      <c r="K301">
        <f>MONTH(Data[[#This Row],[Date]])</f>
        <v>7</v>
      </c>
      <c r="L301">
        <f>IF(Data[[#This Row],[Category Type]]="Income",Data[[#This Row],[Amount]],0)</f>
        <v>0</v>
      </c>
      <c r="M301">
        <f>IF(Data[[#This Row],[Category Type]]="Expense",-Data[[#This Row],[Amount]],0)</f>
        <v>56.1</v>
      </c>
    </row>
    <row r="302" spans="1:13" x14ac:dyDescent="0.25">
      <c r="A302" t="s">
        <v>4</v>
      </c>
      <c r="B302" s="1">
        <v>44387</v>
      </c>
      <c r="C302" t="s">
        <v>13</v>
      </c>
      <c r="D302">
        <v>5</v>
      </c>
      <c r="E302">
        <v>0</v>
      </c>
      <c r="F302">
        <v>-5</v>
      </c>
      <c r="G302" t="s">
        <v>14</v>
      </c>
      <c r="H302" t="s">
        <v>15</v>
      </c>
      <c r="I302" t="s">
        <v>16</v>
      </c>
      <c r="J302" t="str">
        <f>TEXT(Data[[#This Row],[Date]],"mmm")</f>
        <v>Jul</v>
      </c>
      <c r="K302">
        <f>MONTH(Data[[#This Row],[Date]])</f>
        <v>7</v>
      </c>
      <c r="L302">
        <f>IF(Data[[#This Row],[Category Type]]="Income",Data[[#This Row],[Amount]],0)</f>
        <v>0</v>
      </c>
      <c r="M302">
        <f>IF(Data[[#This Row],[Category Type]]="Expense",-Data[[#This Row],[Amount]],0)</f>
        <v>5</v>
      </c>
    </row>
    <row r="303" spans="1:13" x14ac:dyDescent="0.25">
      <c r="A303" t="s">
        <v>4</v>
      </c>
      <c r="B303" s="1">
        <v>44388</v>
      </c>
      <c r="C303" t="s">
        <v>13</v>
      </c>
      <c r="D303">
        <v>5</v>
      </c>
      <c r="E303">
        <v>0</v>
      </c>
      <c r="F303">
        <v>-5</v>
      </c>
      <c r="G303" t="s">
        <v>14</v>
      </c>
      <c r="H303" t="s">
        <v>15</v>
      </c>
      <c r="I303" t="s">
        <v>16</v>
      </c>
      <c r="J303" t="str">
        <f>TEXT(Data[[#This Row],[Date]],"mmm")</f>
        <v>Jul</v>
      </c>
      <c r="K303">
        <f>MONTH(Data[[#This Row],[Date]])</f>
        <v>7</v>
      </c>
      <c r="L303">
        <f>IF(Data[[#This Row],[Category Type]]="Income",Data[[#This Row],[Amount]],0)</f>
        <v>0</v>
      </c>
      <c r="M303">
        <f>IF(Data[[#This Row],[Category Type]]="Expense",-Data[[#This Row],[Amount]],0)</f>
        <v>5</v>
      </c>
    </row>
    <row r="304" spans="1:13" x14ac:dyDescent="0.25">
      <c r="A304" t="s">
        <v>4</v>
      </c>
      <c r="B304" s="1">
        <v>44389</v>
      </c>
      <c r="C304" t="s">
        <v>27</v>
      </c>
      <c r="D304">
        <v>83.1</v>
      </c>
      <c r="E304">
        <v>0</v>
      </c>
      <c r="F304">
        <v>-83.1</v>
      </c>
      <c r="G304" t="s">
        <v>28</v>
      </c>
      <c r="H304" t="s">
        <v>22</v>
      </c>
      <c r="I304" t="s">
        <v>16</v>
      </c>
      <c r="J304" t="str">
        <f>TEXT(Data[[#This Row],[Date]],"mmm")</f>
        <v>Jul</v>
      </c>
      <c r="K304">
        <f>MONTH(Data[[#This Row],[Date]])</f>
        <v>7</v>
      </c>
      <c r="L304">
        <f>IF(Data[[#This Row],[Category Type]]="Income",Data[[#This Row],[Amount]],0)</f>
        <v>0</v>
      </c>
      <c r="M304">
        <f>IF(Data[[#This Row],[Category Type]]="Expense",-Data[[#This Row],[Amount]],0)</f>
        <v>83.1</v>
      </c>
    </row>
    <row r="305" spans="1:13" x14ac:dyDescent="0.25">
      <c r="A305" t="s">
        <v>4</v>
      </c>
      <c r="B305" s="1">
        <v>44389</v>
      </c>
      <c r="C305" t="s">
        <v>13</v>
      </c>
      <c r="D305">
        <v>5</v>
      </c>
      <c r="E305">
        <v>0</v>
      </c>
      <c r="F305">
        <v>-5</v>
      </c>
      <c r="G305" t="s">
        <v>14</v>
      </c>
      <c r="H305" t="s">
        <v>15</v>
      </c>
      <c r="I305" t="s">
        <v>16</v>
      </c>
      <c r="J305" t="str">
        <f>TEXT(Data[[#This Row],[Date]],"mmm")</f>
        <v>Jul</v>
      </c>
      <c r="K305">
        <f>MONTH(Data[[#This Row],[Date]])</f>
        <v>7</v>
      </c>
      <c r="L305">
        <f>IF(Data[[#This Row],[Category Type]]="Income",Data[[#This Row],[Amount]],0)</f>
        <v>0</v>
      </c>
      <c r="M305">
        <f>IF(Data[[#This Row],[Category Type]]="Expense",-Data[[#This Row],[Amount]],0)</f>
        <v>5</v>
      </c>
    </row>
    <row r="306" spans="1:13" x14ac:dyDescent="0.25">
      <c r="A306" t="s">
        <v>4</v>
      </c>
      <c r="B306" s="1">
        <v>44390</v>
      </c>
      <c r="C306" t="s">
        <v>13</v>
      </c>
      <c r="D306">
        <v>5</v>
      </c>
      <c r="E306">
        <v>0</v>
      </c>
      <c r="F306">
        <v>-5</v>
      </c>
      <c r="G306" t="s">
        <v>14</v>
      </c>
      <c r="H306" t="s">
        <v>15</v>
      </c>
      <c r="I306" t="s">
        <v>16</v>
      </c>
      <c r="J306" t="str">
        <f>TEXT(Data[[#This Row],[Date]],"mmm")</f>
        <v>Jul</v>
      </c>
      <c r="K306">
        <f>MONTH(Data[[#This Row],[Date]])</f>
        <v>7</v>
      </c>
      <c r="L306">
        <f>IF(Data[[#This Row],[Category Type]]="Income",Data[[#This Row],[Amount]],0)</f>
        <v>0</v>
      </c>
      <c r="M306">
        <f>IF(Data[[#This Row],[Category Type]]="Expense",-Data[[#This Row],[Amount]],0)</f>
        <v>5</v>
      </c>
    </row>
    <row r="307" spans="1:13" x14ac:dyDescent="0.25">
      <c r="A307" t="s">
        <v>4</v>
      </c>
      <c r="B307" s="1">
        <v>44391</v>
      </c>
      <c r="C307" t="s">
        <v>23</v>
      </c>
      <c r="D307">
        <v>141.1</v>
      </c>
      <c r="E307">
        <v>0</v>
      </c>
      <c r="F307">
        <v>-141.1</v>
      </c>
      <c r="G307" t="s">
        <v>24</v>
      </c>
      <c r="H307" t="s">
        <v>19</v>
      </c>
      <c r="I307" t="s">
        <v>16</v>
      </c>
      <c r="J307" t="str">
        <f>TEXT(Data[[#This Row],[Date]],"mmm")</f>
        <v>Jul</v>
      </c>
      <c r="K307">
        <f>MONTH(Data[[#This Row],[Date]])</f>
        <v>7</v>
      </c>
      <c r="L307">
        <f>IF(Data[[#This Row],[Category Type]]="Income",Data[[#This Row],[Amount]],0)</f>
        <v>0</v>
      </c>
      <c r="M307">
        <f>IF(Data[[#This Row],[Category Type]]="Expense",-Data[[#This Row],[Amount]],0)</f>
        <v>141.1</v>
      </c>
    </row>
    <row r="308" spans="1:13" x14ac:dyDescent="0.25">
      <c r="A308" t="s">
        <v>4</v>
      </c>
      <c r="B308" s="1">
        <v>44391</v>
      </c>
      <c r="C308" t="s">
        <v>13</v>
      </c>
      <c r="D308">
        <v>5</v>
      </c>
      <c r="E308">
        <v>0</v>
      </c>
      <c r="F308">
        <v>-5</v>
      </c>
      <c r="G308" t="s">
        <v>14</v>
      </c>
      <c r="H308" t="s">
        <v>15</v>
      </c>
      <c r="I308" t="s">
        <v>16</v>
      </c>
      <c r="J308" t="str">
        <f>TEXT(Data[[#This Row],[Date]],"mmm")</f>
        <v>Jul</v>
      </c>
      <c r="K308">
        <f>MONTH(Data[[#This Row],[Date]])</f>
        <v>7</v>
      </c>
      <c r="L308">
        <f>IF(Data[[#This Row],[Category Type]]="Income",Data[[#This Row],[Amount]],0)</f>
        <v>0</v>
      </c>
      <c r="M308">
        <f>IF(Data[[#This Row],[Category Type]]="Expense",-Data[[#This Row],[Amount]],0)</f>
        <v>5</v>
      </c>
    </row>
    <row r="309" spans="1:13" x14ac:dyDescent="0.25">
      <c r="A309" t="s">
        <v>4</v>
      </c>
      <c r="B309" s="1">
        <v>44392</v>
      </c>
      <c r="C309" t="s">
        <v>13</v>
      </c>
      <c r="D309">
        <v>5</v>
      </c>
      <c r="E309">
        <v>0</v>
      </c>
      <c r="F309">
        <v>-5</v>
      </c>
      <c r="G309" t="s">
        <v>14</v>
      </c>
      <c r="H309" t="s">
        <v>15</v>
      </c>
      <c r="I309" t="s">
        <v>16</v>
      </c>
      <c r="J309" t="str">
        <f>TEXT(Data[[#This Row],[Date]],"mmm")</f>
        <v>Jul</v>
      </c>
      <c r="K309">
        <f>MONTH(Data[[#This Row],[Date]])</f>
        <v>7</v>
      </c>
      <c r="L309">
        <f>IF(Data[[#This Row],[Category Type]]="Income",Data[[#This Row],[Amount]],0)</f>
        <v>0</v>
      </c>
      <c r="M309">
        <f>IF(Data[[#This Row],[Category Type]]="Expense",-Data[[#This Row],[Amount]],0)</f>
        <v>5</v>
      </c>
    </row>
    <row r="310" spans="1:13" x14ac:dyDescent="0.25">
      <c r="A310" t="s">
        <v>4</v>
      </c>
      <c r="B310" s="1">
        <v>44392</v>
      </c>
      <c r="C310" t="s">
        <v>29</v>
      </c>
      <c r="D310">
        <v>45.8</v>
      </c>
      <c r="E310">
        <v>0</v>
      </c>
      <c r="F310">
        <v>-45.8</v>
      </c>
      <c r="G310" t="s">
        <v>21</v>
      </c>
      <c r="H310" t="s">
        <v>30</v>
      </c>
      <c r="I310" t="s">
        <v>16</v>
      </c>
      <c r="J310" t="str">
        <f>TEXT(Data[[#This Row],[Date]],"mmm")</f>
        <v>Jul</v>
      </c>
      <c r="K310">
        <f>MONTH(Data[[#This Row],[Date]])</f>
        <v>7</v>
      </c>
      <c r="L310">
        <f>IF(Data[[#This Row],[Category Type]]="Income",Data[[#This Row],[Amount]],0)</f>
        <v>0</v>
      </c>
      <c r="M310">
        <f>IF(Data[[#This Row],[Category Type]]="Expense",-Data[[#This Row],[Amount]],0)</f>
        <v>45.8</v>
      </c>
    </row>
    <row r="311" spans="1:13" x14ac:dyDescent="0.25">
      <c r="A311" t="s">
        <v>4</v>
      </c>
      <c r="B311" s="1">
        <v>44392</v>
      </c>
      <c r="C311" t="s">
        <v>31</v>
      </c>
      <c r="D311">
        <v>103.80000000000001</v>
      </c>
      <c r="E311">
        <v>0</v>
      </c>
      <c r="F311">
        <v>-103.80000000000001</v>
      </c>
      <c r="G311" t="s">
        <v>32</v>
      </c>
      <c r="H311" t="s">
        <v>30</v>
      </c>
      <c r="I311" t="s">
        <v>16</v>
      </c>
      <c r="J311" t="str">
        <f>TEXT(Data[[#This Row],[Date]],"mmm")</f>
        <v>Jul</v>
      </c>
      <c r="K311">
        <f>MONTH(Data[[#This Row],[Date]])</f>
        <v>7</v>
      </c>
      <c r="L311">
        <f>IF(Data[[#This Row],[Category Type]]="Income",Data[[#This Row],[Amount]],0)</f>
        <v>0</v>
      </c>
      <c r="M311">
        <f>IF(Data[[#This Row],[Category Type]]="Expense",-Data[[#This Row],[Amount]],0)</f>
        <v>103.80000000000001</v>
      </c>
    </row>
    <row r="312" spans="1:13" x14ac:dyDescent="0.25">
      <c r="A312" t="s">
        <v>4</v>
      </c>
      <c r="B312" s="1">
        <v>44392</v>
      </c>
      <c r="C312" t="s">
        <v>33</v>
      </c>
      <c r="D312">
        <v>58</v>
      </c>
      <c r="E312">
        <v>0</v>
      </c>
      <c r="F312">
        <v>-58</v>
      </c>
      <c r="G312" t="s">
        <v>34</v>
      </c>
      <c r="H312" t="s">
        <v>15</v>
      </c>
      <c r="I312" t="s">
        <v>16</v>
      </c>
      <c r="J312" t="str">
        <f>TEXT(Data[[#This Row],[Date]],"mmm")</f>
        <v>Jul</v>
      </c>
      <c r="K312">
        <f>MONTH(Data[[#This Row],[Date]])</f>
        <v>7</v>
      </c>
      <c r="L312">
        <f>IF(Data[[#This Row],[Category Type]]="Income",Data[[#This Row],[Amount]],0)</f>
        <v>0</v>
      </c>
      <c r="M312">
        <f>IF(Data[[#This Row],[Category Type]]="Expense",-Data[[#This Row],[Amount]],0)</f>
        <v>58</v>
      </c>
    </row>
    <row r="313" spans="1:13" x14ac:dyDescent="0.25">
      <c r="A313" t="s">
        <v>4</v>
      </c>
      <c r="B313" s="1">
        <v>44393</v>
      </c>
      <c r="C313" t="s">
        <v>35</v>
      </c>
      <c r="D313">
        <v>34.200000000000003</v>
      </c>
      <c r="E313">
        <v>0</v>
      </c>
      <c r="F313">
        <v>-34.200000000000003</v>
      </c>
      <c r="G313" t="s">
        <v>36</v>
      </c>
      <c r="H313" t="s">
        <v>22</v>
      </c>
      <c r="I313" t="s">
        <v>16</v>
      </c>
      <c r="J313" t="str">
        <f>TEXT(Data[[#This Row],[Date]],"mmm")</f>
        <v>Jul</v>
      </c>
      <c r="K313">
        <f>MONTH(Data[[#This Row],[Date]])</f>
        <v>7</v>
      </c>
      <c r="L313">
        <f>IF(Data[[#This Row],[Category Type]]="Income",Data[[#This Row],[Amount]],0)</f>
        <v>0</v>
      </c>
      <c r="M313">
        <f>IF(Data[[#This Row],[Category Type]]="Expense",-Data[[#This Row],[Amount]],0)</f>
        <v>34.200000000000003</v>
      </c>
    </row>
    <row r="314" spans="1:13" x14ac:dyDescent="0.25">
      <c r="A314" t="s">
        <v>9</v>
      </c>
      <c r="B314" s="1">
        <v>44394</v>
      </c>
      <c r="C314" t="s">
        <v>37</v>
      </c>
      <c r="D314">
        <v>30</v>
      </c>
      <c r="E314">
        <v>0</v>
      </c>
      <c r="F314">
        <v>-30</v>
      </c>
      <c r="G314" t="s">
        <v>38</v>
      </c>
      <c r="H314" t="s">
        <v>30</v>
      </c>
      <c r="I314" t="s">
        <v>16</v>
      </c>
      <c r="J314" t="str">
        <f>TEXT(Data[[#This Row],[Date]],"mmm")</f>
        <v>Jul</v>
      </c>
      <c r="K314">
        <f>MONTH(Data[[#This Row],[Date]])</f>
        <v>7</v>
      </c>
      <c r="L314">
        <f>IF(Data[[#This Row],[Category Type]]="Income",Data[[#This Row],[Amount]],0)</f>
        <v>0</v>
      </c>
      <c r="M314">
        <f>IF(Data[[#This Row],[Category Type]]="Expense",-Data[[#This Row],[Amount]],0)</f>
        <v>30</v>
      </c>
    </row>
    <row r="315" spans="1:13" x14ac:dyDescent="0.25">
      <c r="A315" t="s">
        <v>4</v>
      </c>
      <c r="B315" s="1">
        <v>44394</v>
      </c>
      <c r="C315" t="s">
        <v>13</v>
      </c>
      <c r="D315">
        <v>5</v>
      </c>
      <c r="E315">
        <v>0</v>
      </c>
      <c r="F315">
        <v>-5</v>
      </c>
      <c r="G315" t="s">
        <v>14</v>
      </c>
      <c r="H315" t="s">
        <v>15</v>
      </c>
      <c r="I315" t="s">
        <v>16</v>
      </c>
      <c r="J315" t="str">
        <f>TEXT(Data[[#This Row],[Date]],"mmm")</f>
        <v>Jul</v>
      </c>
      <c r="K315">
        <f>MONTH(Data[[#This Row],[Date]])</f>
        <v>7</v>
      </c>
      <c r="L315">
        <f>IF(Data[[#This Row],[Category Type]]="Income",Data[[#This Row],[Amount]],0)</f>
        <v>0</v>
      </c>
      <c r="M315">
        <f>IF(Data[[#This Row],[Category Type]]="Expense",-Data[[#This Row],[Amount]],0)</f>
        <v>5</v>
      </c>
    </row>
    <row r="316" spans="1:13" x14ac:dyDescent="0.25">
      <c r="A316" t="s">
        <v>4</v>
      </c>
      <c r="B316" s="1">
        <v>44395</v>
      </c>
      <c r="C316" t="s">
        <v>13</v>
      </c>
      <c r="D316">
        <v>5</v>
      </c>
      <c r="E316">
        <v>0</v>
      </c>
      <c r="F316">
        <v>-5</v>
      </c>
      <c r="G316" t="s">
        <v>14</v>
      </c>
      <c r="H316" t="s">
        <v>15</v>
      </c>
      <c r="I316" t="s">
        <v>16</v>
      </c>
      <c r="J316" t="str">
        <f>TEXT(Data[[#This Row],[Date]],"mmm")</f>
        <v>Jul</v>
      </c>
      <c r="K316">
        <f>MONTH(Data[[#This Row],[Date]])</f>
        <v>7</v>
      </c>
      <c r="L316">
        <f>IF(Data[[#This Row],[Category Type]]="Income",Data[[#This Row],[Amount]],0)</f>
        <v>0</v>
      </c>
      <c r="M316">
        <f>IF(Data[[#This Row],[Category Type]]="Expense",-Data[[#This Row],[Amount]],0)</f>
        <v>5</v>
      </c>
    </row>
    <row r="317" spans="1:13" x14ac:dyDescent="0.25">
      <c r="A317" t="s">
        <v>9</v>
      </c>
      <c r="B317" s="1">
        <v>44395</v>
      </c>
      <c r="C317" t="s">
        <v>42</v>
      </c>
      <c r="D317">
        <v>40</v>
      </c>
      <c r="E317">
        <v>0</v>
      </c>
      <c r="F317">
        <v>-40</v>
      </c>
      <c r="G317" t="s">
        <v>43</v>
      </c>
      <c r="H317" t="s">
        <v>19</v>
      </c>
      <c r="I317" t="s">
        <v>16</v>
      </c>
      <c r="J317" t="str">
        <f>TEXT(Data[[#This Row],[Date]],"mmm")</f>
        <v>Jul</v>
      </c>
      <c r="K317">
        <f>MONTH(Data[[#This Row],[Date]])</f>
        <v>7</v>
      </c>
      <c r="L317">
        <f>IF(Data[[#This Row],[Category Type]]="Income",Data[[#This Row],[Amount]],0)</f>
        <v>0</v>
      </c>
      <c r="M317">
        <f>IF(Data[[#This Row],[Category Type]]="Expense",-Data[[#This Row],[Amount]],0)</f>
        <v>40</v>
      </c>
    </row>
    <row r="318" spans="1:13" x14ac:dyDescent="0.25">
      <c r="A318" t="s">
        <v>4</v>
      </c>
      <c r="B318" s="1">
        <v>44396</v>
      </c>
      <c r="C318" t="s">
        <v>44</v>
      </c>
      <c r="D318">
        <v>51.1</v>
      </c>
      <c r="E318">
        <v>0</v>
      </c>
      <c r="F318">
        <v>-51.1</v>
      </c>
      <c r="G318" t="s">
        <v>45</v>
      </c>
      <c r="H318" t="s">
        <v>30</v>
      </c>
      <c r="I318" t="s">
        <v>16</v>
      </c>
      <c r="J318" t="str">
        <f>TEXT(Data[[#This Row],[Date]],"mmm")</f>
        <v>Jul</v>
      </c>
      <c r="K318">
        <f>MONTH(Data[[#This Row],[Date]])</f>
        <v>7</v>
      </c>
      <c r="L318">
        <f>IF(Data[[#This Row],[Category Type]]="Income",Data[[#This Row],[Amount]],0)</f>
        <v>0</v>
      </c>
      <c r="M318">
        <f>IF(Data[[#This Row],[Category Type]]="Expense",-Data[[#This Row],[Amount]],0)</f>
        <v>51.1</v>
      </c>
    </row>
    <row r="319" spans="1:13" x14ac:dyDescent="0.25">
      <c r="A319" t="s">
        <v>4</v>
      </c>
      <c r="B319" s="1">
        <v>44396</v>
      </c>
      <c r="C319" t="s">
        <v>46</v>
      </c>
      <c r="D319">
        <v>35</v>
      </c>
      <c r="E319">
        <v>0</v>
      </c>
      <c r="F319">
        <v>-35</v>
      </c>
      <c r="G319" t="s">
        <v>21</v>
      </c>
      <c r="H319" t="s">
        <v>30</v>
      </c>
      <c r="I319" t="s">
        <v>16</v>
      </c>
      <c r="J319" t="str">
        <f>TEXT(Data[[#This Row],[Date]],"mmm")</f>
        <v>Jul</v>
      </c>
      <c r="K319">
        <f>MONTH(Data[[#This Row],[Date]])</f>
        <v>7</v>
      </c>
      <c r="L319">
        <f>IF(Data[[#This Row],[Category Type]]="Income",Data[[#This Row],[Amount]],0)</f>
        <v>0</v>
      </c>
      <c r="M319">
        <f>IF(Data[[#This Row],[Category Type]]="Expense",-Data[[#This Row],[Amount]],0)</f>
        <v>35</v>
      </c>
    </row>
    <row r="320" spans="1:13" x14ac:dyDescent="0.25">
      <c r="A320" t="s">
        <v>4</v>
      </c>
      <c r="B320" s="1">
        <v>44396</v>
      </c>
      <c r="C320" t="s">
        <v>13</v>
      </c>
      <c r="D320">
        <v>5</v>
      </c>
      <c r="E320">
        <v>0</v>
      </c>
      <c r="F320">
        <v>-5</v>
      </c>
      <c r="G320" t="s">
        <v>14</v>
      </c>
      <c r="H320" t="s">
        <v>15</v>
      </c>
      <c r="I320" t="s">
        <v>16</v>
      </c>
      <c r="J320" t="str">
        <f>TEXT(Data[[#This Row],[Date]],"mmm")</f>
        <v>Jul</v>
      </c>
      <c r="K320">
        <f>MONTH(Data[[#This Row],[Date]])</f>
        <v>7</v>
      </c>
      <c r="L320">
        <f>IF(Data[[#This Row],[Category Type]]="Income",Data[[#This Row],[Amount]],0)</f>
        <v>0</v>
      </c>
      <c r="M320">
        <f>IF(Data[[#This Row],[Category Type]]="Expense",-Data[[#This Row],[Amount]],0)</f>
        <v>5</v>
      </c>
    </row>
    <row r="321" spans="1:13" x14ac:dyDescent="0.25">
      <c r="A321" t="s">
        <v>4</v>
      </c>
      <c r="B321" s="1">
        <v>44397</v>
      </c>
      <c r="C321" t="s">
        <v>13</v>
      </c>
      <c r="D321">
        <v>5</v>
      </c>
      <c r="E321">
        <v>0</v>
      </c>
      <c r="F321">
        <v>-5</v>
      </c>
      <c r="G321" t="s">
        <v>14</v>
      </c>
      <c r="H321" t="s">
        <v>15</v>
      </c>
      <c r="I321" t="s">
        <v>16</v>
      </c>
      <c r="J321" t="str">
        <f>TEXT(Data[[#This Row],[Date]],"mmm")</f>
        <v>Jul</v>
      </c>
      <c r="K321">
        <f>MONTH(Data[[#This Row],[Date]])</f>
        <v>7</v>
      </c>
      <c r="L321">
        <f>IF(Data[[#This Row],[Category Type]]="Income",Data[[#This Row],[Amount]],0)</f>
        <v>0</v>
      </c>
      <c r="M321">
        <f>IF(Data[[#This Row],[Category Type]]="Expense",-Data[[#This Row],[Amount]],0)</f>
        <v>5</v>
      </c>
    </row>
    <row r="322" spans="1:13" x14ac:dyDescent="0.25">
      <c r="A322" t="s">
        <v>4</v>
      </c>
      <c r="B322" s="1">
        <v>44398</v>
      </c>
      <c r="C322" t="s">
        <v>13</v>
      </c>
      <c r="D322">
        <v>5</v>
      </c>
      <c r="E322">
        <v>0</v>
      </c>
      <c r="F322">
        <v>-5</v>
      </c>
      <c r="G322" t="s">
        <v>14</v>
      </c>
      <c r="H322" t="s">
        <v>15</v>
      </c>
      <c r="I322" t="s">
        <v>16</v>
      </c>
      <c r="J322" t="str">
        <f>TEXT(Data[[#This Row],[Date]],"mmm")</f>
        <v>Jul</v>
      </c>
      <c r="K322">
        <f>MONTH(Data[[#This Row],[Date]])</f>
        <v>7</v>
      </c>
      <c r="L322">
        <f>IF(Data[[#This Row],[Category Type]]="Income",Data[[#This Row],[Amount]],0)</f>
        <v>0</v>
      </c>
      <c r="M322">
        <f>IF(Data[[#This Row],[Category Type]]="Expense",-Data[[#This Row],[Amount]],0)</f>
        <v>5</v>
      </c>
    </row>
    <row r="323" spans="1:13" x14ac:dyDescent="0.25">
      <c r="A323" t="s">
        <v>4</v>
      </c>
      <c r="B323" s="1">
        <v>44398</v>
      </c>
      <c r="C323" t="s">
        <v>23</v>
      </c>
      <c r="D323">
        <v>176</v>
      </c>
      <c r="E323">
        <v>0</v>
      </c>
      <c r="F323">
        <v>-176</v>
      </c>
      <c r="G323" t="s">
        <v>24</v>
      </c>
      <c r="H323" t="s">
        <v>19</v>
      </c>
      <c r="I323" t="s">
        <v>16</v>
      </c>
      <c r="J323" t="str">
        <f>TEXT(Data[[#This Row],[Date]],"mmm")</f>
        <v>Jul</v>
      </c>
      <c r="K323">
        <f>MONTH(Data[[#This Row],[Date]])</f>
        <v>7</v>
      </c>
      <c r="L323">
        <f>IF(Data[[#This Row],[Category Type]]="Income",Data[[#This Row],[Amount]],0)</f>
        <v>0</v>
      </c>
      <c r="M323">
        <f>IF(Data[[#This Row],[Category Type]]="Expense",-Data[[#This Row],[Amount]],0)</f>
        <v>176</v>
      </c>
    </row>
    <row r="324" spans="1:13" x14ac:dyDescent="0.25">
      <c r="A324" t="s">
        <v>4</v>
      </c>
      <c r="B324" s="1">
        <v>44399</v>
      </c>
      <c r="C324" t="s">
        <v>47</v>
      </c>
      <c r="D324">
        <v>43.1</v>
      </c>
      <c r="E324">
        <v>0</v>
      </c>
      <c r="F324">
        <v>-43.1</v>
      </c>
      <c r="G324" t="s">
        <v>34</v>
      </c>
      <c r="H324" t="s">
        <v>15</v>
      </c>
      <c r="I324" t="s">
        <v>16</v>
      </c>
      <c r="J324" t="str">
        <f>TEXT(Data[[#This Row],[Date]],"mmm")</f>
        <v>Jul</v>
      </c>
      <c r="K324">
        <f>MONTH(Data[[#This Row],[Date]])</f>
        <v>7</v>
      </c>
      <c r="L324">
        <f>IF(Data[[#This Row],[Category Type]]="Income",Data[[#This Row],[Amount]],0)</f>
        <v>0</v>
      </c>
      <c r="M324">
        <f>IF(Data[[#This Row],[Category Type]]="Expense",-Data[[#This Row],[Amount]],0)</f>
        <v>43.1</v>
      </c>
    </row>
    <row r="325" spans="1:13" x14ac:dyDescent="0.25">
      <c r="A325" t="s">
        <v>4</v>
      </c>
      <c r="B325" s="1">
        <v>44400</v>
      </c>
      <c r="C325" t="s">
        <v>48</v>
      </c>
      <c r="D325">
        <v>18.2</v>
      </c>
      <c r="E325">
        <v>0</v>
      </c>
      <c r="F325">
        <v>-18.2</v>
      </c>
      <c r="G325" t="s">
        <v>34</v>
      </c>
      <c r="H325" t="s">
        <v>15</v>
      </c>
      <c r="I325" t="s">
        <v>16</v>
      </c>
      <c r="J325" t="str">
        <f>TEXT(Data[[#This Row],[Date]],"mmm")</f>
        <v>Jul</v>
      </c>
      <c r="K325">
        <f>MONTH(Data[[#This Row],[Date]])</f>
        <v>7</v>
      </c>
      <c r="L325">
        <f>IF(Data[[#This Row],[Category Type]]="Income",Data[[#This Row],[Amount]],0)</f>
        <v>0</v>
      </c>
      <c r="M325">
        <f>IF(Data[[#This Row],[Category Type]]="Expense",-Data[[#This Row],[Amount]],0)</f>
        <v>18.2</v>
      </c>
    </row>
    <row r="326" spans="1:13" x14ac:dyDescent="0.25">
      <c r="A326" t="s">
        <v>9</v>
      </c>
      <c r="B326" s="1">
        <v>44401</v>
      </c>
      <c r="C326" t="s">
        <v>49</v>
      </c>
      <c r="D326">
        <v>55</v>
      </c>
      <c r="E326">
        <v>0</v>
      </c>
      <c r="F326">
        <v>-55</v>
      </c>
      <c r="G326" t="s">
        <v>50</v>
      </c>
      <c r="H326" t="s">
        <v>51</v>
      </c>
      <c r="I326" t="s">
        <v>16</v>
      </c>
      <c r="J326" t="str">
        <f>TEXT(Data[[#This Row],[Date]],"mmm")</f>
        <v>Jul</v>
      </c>
      <c r="K326">
        <f>MONTH(Data[[#This Row],[Date]])</f>
        <v>7</v>
      </c>
      <c r="L326">
        <f>IF(Data[[#This Row],[Category Type]]="Income",Data[[#This Row],[Amount]],0)</f>
        <v>0</v>
      </c>
      <c r="M326">
        <f>IF(Data[[#This Row],[Category Type]]="Expense",-Data[[#This Row],[Amount]],0)</f>
        <v>55</v>
      </c>
    </row>
    <row r="327" spans="1:13" x14ac:dyDescent="0.25">
      <c r="A327" t="s">
        <v>4</v>
      </c>
      <c r="B327" s="1">
        <v>44401</v>
      </c>
      <c r="C327" t="s">
        <v>27</v>
      </c>
      <c r="D327">
        <v>68.800000000000011</v>
      </c>
      <c r="E327">
        <v>0</v>
      </c>
      <c r="F327">
        <v>-68.800000000000011</v>
      </c>
      <c r="G327" t="s">
        <v>28</v>
      </c>
      <c r="H327" t="s">
        <v>22</v>
      </c>
      <c r="I327" t="s">
        <v>16</v>
      </c>
      <c r="J327" t="str">
        <f>TEXT(Data[[#This Row],[Date]],"mmm")</f>
        <v>Jul</v>
      </c>
      <c r="K327">
        <f>MONTH(Data[[#This Row],[Date]])</f>
        <v>7</v>
      </c>
      <c r="L327">
        <f>IF(Data[[#This Row],[Category Type]]="Income",Data[[#This Row],[Amount]],0)</f>
        <v>0</v>
      </c>
      <c r="M327">
        <f>IF(Data[[#This Row],[Category Type]]="Expense",-Data[[#This Row],[Amount]],0)</f>
        <v>68.800000000000011</v>
      </c>
    </row>
    <row r="328" spans="1:13" x14ac:dyDescent="0.25">
      <c r="A328" t="s">
        <v>4</v>
      </c>
      <c r="B328" s="1">
        <v>44401</v>
      </c>
      <c r="C328" t="s">
        <v>13</v>
      </c>
      <c r="D328">
        <v>5</v>
      </c>
      <c r="E328">
        <v>0</v>
      </c>
      <c r="F328">
        <v>-5</v>
      </c>
      <c r="G328" t="s">
        <v>14</v>
      </c>
      <c r="H328" t="s">
        <v>15</v>
      </c>
      <c r="I328" t="s">
        <v>16</v>
      </c>
      <c r="J328" t="str">
        <f>TEXT(Data[[#This Row],[Date]],"mmm")</f>
        <v>Jul</v>
      </c>
      <c r="K328">
        <f>MONTH(Data[[#This Row],[Date]])</f>
        <v>7</v>
      </c>
      <c r="L328">
        <f>IF(Data[[#This Row],[Category Type]]="Income",Data[[#This Row],[Amount]],0)</f>
        <v>0</v>
      </c>
      <c r="M328">
        <f>IF(Data[[#This Row],[Category Type]]="Expense",-Data[[#This Row],[Amount]],0)</f>
        <v>5</v>
      </c>
    </row>
    <row r="329" spans="1:13" x14ac:dyDescent="0.25">
      <c r="A329" t="s">
        <v>4</v>
      </c>
      <c r="B329" s="1">
        <v>44402</v>
      </c>
      <c r="C329" t="s">
        <v>13</v>
      </c>
      <c r="D329">
        <v>5</v>
      </c>
      <c r="E329">
        <v>0</v>
      </c>
      <c r="F329">
        <v>-5</v>
      </c>
      <c r="G329" t="s">
        <v>14</v>
      </c>
      <c r="H329" t="s">
        <v>15</v>
      </c>
      <c r="I329" t="s">
        <v>16</v>
      </c>
      <c r="J329" t="str">
        <f>TEXT(Data[[#This Row],[Date]],"mmm")</f>
        <v>Jul</v>
      </c>
      <c r="K329">
        <f>MONTH(Data[[#This Row],[Date]])</f>
        <v>7</v>
      </c>
      <c r="L329">
        <f>IF(Data[[#This Row],[Category Type]]="Income",Data[[#This Row],[Amount]],0)</f>
        <v>0</v>
      </c>
      <c r="M329">
        <f>IF(Data[[#This Row],[Category Type]]="Expense",-Data[[#This Row],[Amount]],0)</f>
        <v>5</v>
      </c>
    </row>
    <row r="330" spans="1:13" x14ac:dyDescent="0.25">
      <c r="A330" t="s">
        <v>4</v>
      </c>
      <c r="B330" s="1">
        <v>44403</v>
      </c>
      <c r="C330" t="s">
        <v>13</v>
      </c>
      <c r="D330">
        <v>5</v>
      </c>
      <c r="E330">
        <v>0</v>
      </c>
      <c r="F330">
        <v>-5</v>
      </c>
      <c r="G330" t="s">
        <v>14</v>
      </c>
      <c r="H330" t="s">
        <v>15</v>
      </c>
      <c r="I330" t="s">
        <v>16</v>
      </c>
      <c r="J330" t="str">
        <f>TEXT(Data[[#This Row],[Date]],"mmm")</f>
        <v>Jul</v>
      </c>
      <c r="K330">
        <f>MONTH(Data[[#This Row],[Date]])</f>
        <v>7</v>
      </c>
      <c r="L330">
        <f>IF(Data[[#This Row],[Category Type]]="Income",Data[[#This Row],[Amount]],0)</f>
        <v>0</v>
      </c>
      <c r="M330">
        <f>IF(Data[[#This Row],[Category Type]]="Expense",-Data[[#This Row],[Amount]],0)</f>
        <v>5</v>
      </c>
    </row>
    <row r="331" spans="1:13" x14ac:dyDescent="0.25">
      <c r="A331" t="s">
        <v>4</v>
      </c>
      <c r="B331" s="1">
        <v>44404</v>
      </c>
      <c r="C331" t="s">
        <v>13</v>
      </c>
      <c r="D331">
        <v>5</v>
      </c>
      <c r="E331">
        <v>0</v>
      </c>
      <c r="F331">
        <v>-5</v>
      </c>
      <c r="G331" t="s">
        <v>14</v>
      </c>
      <c r="H331" t="s">
        <v>15</v>
      </c>
      <c r="I331" t="s">
        <v>16</v>
      </c>
      <c r="J331" t="str">
        <f>TEXT(Data[[#This Row],[Date]],"mmm")</f>
        <v>Jul</v>
      </c>
      <c r="K331">
        <f>MONTH(Data[[#This Row],[Date]])</f>
        <v>7</v>
      </c>
      <c r="L331">
        <f>IF(Data[[#This Row],[Category Type]]="Income",Data[[#This Row],[Amount]],0)</f>
        <v>0</v>
      </c>
      <c r="M331">
        <f>IF(Data[[#This Row],[Category Type]]="Expense",-Data[[#This Row],[Amount]],0)</f>
        <v>5</v>
      </c>
    </row>
    <row r="332" spans="1:13" x14ac:dyDescent="0.25">
      <c r="A332" t="s">
        <v>4</v>
      </c>
      <c r="B332" s="1">
        <v>44405</v>
      </c>
      <c r="C332" t="s">
        <v>13</v>
      </c>
      <c r="D332">
        <v>5</v>
      </c>
      <c r="E332">
        <v>0</v>
      </c>
      <c r="F332">
        <v>-5</v>
      </c>
      <c r="G332" t="s">
        <v>14</v>
      </c>
      <c r="H332" t="s">
        <v>15</v>
      </c>
      <c r="I332" t="s">
        <v>16</v>
      </c>
      <c r="J332" t="str">
        <f>TEXT(Data[[#This Row],[Date]],"mmm")</f>
        <v>Jul</v>
      </c>
      <c r="K332">
        <f>MONTH(Data[[#This Row],[Date]])</f>
        <v>7</v>
      </c>
      <c r="L332">
        <f>IF(Data[[#This Row],[Category Type]]="Income",Data[[#This Row],[Amount]],0)</f>
        <v>0</v>
      </c>
      <c r="M332">
        <f>IF(Data[[#This Row],[Category Type]]="Expense",-Data[[#This Row],[Amount]],0)</f>
        <v>5</v>
      </c>
    </row>
    <row r="333" spans="1:13" x14ac:dyDescent="0.25">
      <c r="A333" t="s">
        <v>4</v>
      </c>
      <c r="B333" s="1">
        <v>44405</v>
      </c>
      <c r="C333" t="s">
        <v>23</v>
      </c>
      <c r="D333">
        <v>193</v>
      </c>
      <c r="E333">
        <v>0</v>
      </c>
      <c r="F333">
        <v>-193</v>
      </c>
      <c r="G333" t="s">
        <v>24</v>
      </c>
      <c r="H333" t="s">
        <v>19</v>
      </c>
      <c r="I333" t="s">
        <v>16</v>
      </c>
      <c r="J333" t="str">
        <f>TEXT(Data[[#This Row],[Date]],"mmm")</f>
        <v>Jul</v>
      </c>
      <c r="K333">
        <f>MONTH(Data[[#This Row],[Date]])</f>
        <v>7</v>
      </c>
      <c r="L333">
        <f>IF(Data[[#This Row],[Category Type]]="Income",Data[[#This Row],[Amount]],0)</f>
        <v>0</v>
      </c>
      <c r="M333">
        <f>IF(Data[[#This Row],[Category Type]]="Expense",-Data[[#This Row],[Amount]],0)</f>
        <v>193</v>
      </c>
    </row>
    <row r="334" spans="1:13" x14ac:dyDescent="0.25">
      <c r="A334" t="s">
        <v>4</v>
      </c>
      <c r="B334" s="1">
        <v>44406</v>
      </c>
      <c r="C334" t="s">
        <v>52</v>
      </c>
      <c r="D334">
        <v>130.80000000000001</v>
      </c>
      <c r="E334">
        <v>0</v>
      </c>
      <c r="F334">
        <v>-130.80000000000001</v>
      </c>
      <c r="G334" t="s">
        <v>32</v>
      </c>
      <c r="H334" t="s">
        <v>30</v>
      </c>
      <c r="I334" t="s">
        <v>16</v>
      </c>
      <c r="J334" t="str">
        <f>TEXT(Data[[#This Row],[Date]],"mmm")</f>
        <v>Jul</v>
      </c>
      <c r="K334">
        <f>MONTH(Data[[#This Row],[Date]])</f>
        <v>7</v>
      </c>
      <c r="L334">
        <f>IF(Data[[#This Row],[Category Type]]="Income",Data[[#This Row],[Amount]],0)</f>
        <v>0</v>
      </c>
      <c r="M334">
        <f>IF(Data[[#This Row],[Category Type]]="Expense",-Data[[#This Row],[Amount]],0)</f>
        <v>130.80000000000001</v>
      </c>
    </row>
    <row r="335" spans="1:13" x14ac:dyDescent="0.25">
      <c r="A335" t="s">
        <v>4</v>
      </c>
      <c r="B335" s="1">
        <v>44406</v>
      </c>
      <c r="C335" t="s">
        <v>59</v>
      </c>
      <c r="D335">
        <v>181.39999999999998</v>
      </c>
      <c r="E335">
        <v>0</v>
      </c>
      <c r="F335">
        <v>-181.39999999999998</v>
      </c>
      <c r="G335" t="s">
        <v>60</v>
      </c>
      <c r="H335" t="s">
        <v>30</v>
      </c>
      <c r="I335" t="s">
        <v>16</v>
      </c>
      <c r="J335" t="str">
        <f>TEXT(Data[[#This Row],[Date]],"mmm")</f>
        <v>Jul</v>
      </c>
      <c r="K335">
        <f>MONTH(Data[[#This Row],[Date]])</f>
        <v>7</v>
      </c>
      <c r="L335">
        <f>IF(Data[[#This Row],[Category Type]]="Income",Data[[#This Row],[Amount]],0)</f>
        <v>0</v>
      </c>
      <c r="M335">
        <f>IF(Data[[#This Row],[Category Type]]="Expense",-Data[[#This Row],[Amount]],0)</f>
        <v>181.39999999999998</v>
      </c>
    </row>
    <row r="336" spans="1:13" x14ac:dyDescent="0.25">
      <c r="A336" t="s">
        <v>4</v>
      </c>
      <c r="B336" s="1">
        <v>44407</v>
      </c>
      <c r="C336" t="s">
        <v>31</v>
      </c>
      <c r="D336">
        <v>151.19999999999999</v>
      </c>
      <c r="E336">
        <v>0</v>
      </c>
      <c r="F336">
        <v>-151.19999999999999</v>
      </c>
      <c r="G336" t="s">
        <v>32</v>
      </c>
      <c r="H336" t="s">
        <v>30</v>
      </c>
      <c r="I336" t="s">
        <v>16</v>
      </c>
      <c r="J336" t="str">
        <f>TEXT(Data[[#This Row],[Date]],"mmm")</f>
        <v>Jul</v>
      </c>
      <c r="K336">
        <f>MONTH(Data[[#This Row],[Date]])</f>
        <v>7</v>
      </c>
      <c r="L336">
        <f>IF(Data[[#This Row],[Category Type]]="Income",Data[[#This Row],[Amount]],0)</f>
        <v>0</v>
      </c>
      <c r="M336">
        <f>IF(Data[[#This Row],[Category Type]]="Expense",-Data[[#This Row],[Amount]],0)</f>
        <v>151.19999999999999</v>
      </c>
    </row>
    <row r="337" spans="1:13" x14ac:dyDescent="0.25">
      <c r="A337" t="s">
        <v>4</v>
      </c>
      <c r="B337" s="1">
        <v>44407</v>
      </c>
      <c r="C337" t="s">
        <v>35</v>
      </c>
      <c r="D337">
        <v>29.300000000000004</v>
      </c>
      <c r="E337">
        <v>0</v>
      </c>
      <c r="F337">
        <v>-29.300000000000004</v>
      </c>
      <c r="G337" t="s">
        <v>36</v>
      </c>
      <c r="H337" t="s">
        <v>22</v>
      </c>
      <c r="I337" t="s">
        <v>16</v>
      </c>
      <c r="J337" t="str">
        <f>TEXT(Data[[#This Row],[Date]],"mmm")</f>
        <v>Jul</v>
      </c>
      <c r="K337">
        <f>MONTH(Data[[#This Row],[Date]])</f>
        <v>7</v>
      </c>
      <c r="L337">
        <f>IF(Data[[#This Row],[Category Type]]="Income",Data[[#This Row],[Amount]],0)</f>
        <v>0</v>
      </c>
      <c r="M337">
        <f>IF(Data[[#This Row],[Category Type]]="Expense",-Data[[#This Row],[Amount]],0)</f>
        <v>29.300000000000004</v>
      </c>
    </row>
    <row r="338" spans="1:13" x14ac:dyDescent="0.25">
      <c r="A338" t="s">
        <v>4</v>
      </c>
      <c r="B338" s="1">
        <v>44407</v>
      </c>
      <c r="C338" t="s">
        <v>57</v>
      </c>
      <c r="D338">
        <v>15</v>
      </c>
      <c r="E338">
        <v>0</v>
      </c>
      <c r="F338">
        <v>-15</v>
      </c>
      <c r="G338" t="s">
        <v>34</v>
      </c>
      <c r="H338" t="s">
        <v>15</v>
      </c>
      <c r="I338" t="s">
        <v>16</v>
      </c>
      <c r="J338" t="str">
        <f>TEXT(Data[[#This Row],[Date]],"mmm")</f>
        <v>Jul</v>
      </c>
      <c r="K338">
        <f>MONTH(Data[[#This Row],[Date]])</f>
        <v>7</v>
      </c>
      <c r="L338">
        <f>IF(Data[[#This Row],[Category Type]]="Income",Data[[#This Row],[Amount]],0)</f>
        <v>0</v>
      </c>
      <c r="M338">
        <f>IF(Data[[#This Row],[Category Type]]="Expense",-Data[[#This Row],[Amount]],0)</f>
        <v>15</v>
      </c>
    </row>
    <row r="339" spans="1:13" x14ac:dyDescent="0.25">
      <c r="A339" t="s">
        <v>4</v>
      </c>
      <c r="B339" s="1">
        <v>44408</v>
      </c>
      <c r="C339" t="s">
        <v>13</v>
      </c>
      <c r="D339">
        <v>5</v>
      </c>
      <c r="E339">
        <v>0</v>
      </c>
      <c r="F339">
        <v>-5</v>
      </c>
      <c r="G339" t="s">
        <v>14</v>
      </c>
      <c r="H339" t="s">
        <v>15</v>
      </c>
      <c r="I339" t="s">
        <v>16</v>
      </c>
      <c r="J339" t="str">
        <f>TEXT(Data[[#This Row],[Date]],"mmm")</f>
        <v>Jul</v>
      </c>
      <c r="K339">
        <f>MONTH(Data[[#This Row],[Date]])</f>
        <v>7</v>
      </c>
      <c r="L339">
        <f>IF(Data[[#This Row],[Category Type]]="Income",Data[[#This Row],[Amount]],0)</f>
        <v>0</v>
      </c>
      <c r="M339">
        <f>IF(Data[[#This Row],[Category Type]]="Expense",-Data[[#This Row],[Amount]],0)</f>
        <v>5</v>
      </c>
    </row>
    <row r="340" spans="1:13" x14ac:dyDescent="0.25">
      <c r="A340" t="s">
        <v>4</v>
      </c>
      <c r="B340" s="1">
        <v>44410</v>
      </c>
      <c r="C340" t="s">
        <v>13</v>
      </c>
      <c r="D340">
        <v>5</v>
      </c>
      <c r="E340">
        <v>0</v>
      </c>
      <c r="F340">
        <v>-5</v>
      </c>
      <c r="G340" t="s">
        <v>14</v>
      </c>
      <c r="H340" t="s">
        <v>15</v>
      </c>
      <c r="I340" t="s">
        <v>16</v>
      </c>
      <c r="J340" t="str">
        <f>TEXT(Data[[#This Row],[Date]],"mmm")</f>
        <v>Aug</v>
      </c>
      <c r="K340">
        <f>MONTH(Data[[#This Row],[Date]])</f>
        <v>8</v>
      </c>
      <c r="L340">
        <f>IF(Data[[#This Row],[Category Type]]="Income",Data[[#This Row],[Amount]],0)</f>
        <v>0</v>
      </c>
      <c r="M340">
        <f>IF(Data[[#This Row],[Category Type]]="Expense",-Data[[#This Row],[Amount]],0)</f>
        <v>5</v>
      </c>
    </row>
    <row r="341" spans="1:13" x14ac:dyDescent="0.25">
      <c r="A341" t="s">
        <v>9</v>
      </c>
      <c r="B341" s="1">
        <v>44410</v>
      </c>
      <c r="C341" t="s">
        <v>10</v>
      </c>
      <c r="D341">
        <v>0</v>
      </c>
      <c r="E341">
        <v>4000</v>
      </c>
      <c r="F341">
        <v>4000</v>
      </c>
      <c r="G341" t="s">
        <v>11</v>
      </c>
      <c r="H341" t="s">
        <v>11</v>
      </c>
      <c r="I341" t="s">
        <v>12</v>
      </c>
      <c r="J341" t="str">
        <f>TEXT(Data[[#This Row],[Date]],"mmm")</f>
        <v>Aug</v>
      </c>
      <c r="K341">
        <f>MONTH(Data[[#This Row],[Date]])</f>
        <v>8</v>
      </c>
      <c r="L341">
        <f>IF(Data[[#This Row],[Category Type]]="Income",Data[[#This Row],[Amount]],0)</f>
        <v>4000</v>
      </c>
      <c r="M341">
        <f>IF(Data[[#This Row],[Category Type]]="Expense",-Data[[#This Row],[Amount]],0)</f>
        <v>0</v>
      </c>
    </row>
    <row r="342" spans="1:13" x14ac:dyDescent="0.25">
      <c r="A342" t="s">
        <v>4</v>
      </c>
      <c r="B342" s="1">
        <v>44411</v>
      </c>
      <c r="C342" t="s">
        <v>13</v>
      </c>
      <c r="D342">
        <v>5</v>
      </c>
      <c r="E342">
        <v>0</v>
      </c>
      <c r="F342">
        <v>-5</v>
      </c>
      <c r="G342" t="s">
        <v>14</v>
      </c>
      <c r="H342" t="s">
        <v>15</v>
      </c>
      <c r="I342" t="s">
        <v>16</v>
      </c>
      <c r="J342" t="str">
        <f>TEXT(Data[[#This Row],[Date]],"mmm")</f>
        <v>Aug</v>
      </c>
      <c r="K342">
        <f>MONTH(Data[[#This Row],[Date]])</f>
        <v>8</v>
      </c>
      <c r="L342">
        <f>IF(Data[[#This Row],[Category Type]]="Income",Data[[#This Row],[Amount]],0)</f>
        <v>0</v>
      </c>
      <c r="M342">
        <f>IF(Data[[#This Row],[Category Type]]="Expense",-Data[[#This Row],[Amount]],0)</f>
        <v>5</v>
      </c>
    </row>
    <row r="343" spans="1:13" x14ac:dyDescent="0.25">
      <c r="A343" t="s">
        <v>9</v>
      </c>
      <c r="B343" s="1">
        <v>44413</v>
      </c>
      <c r="C343" t="s">
        <v>17</v>
      </c>
      <c r="D343">
        <v>900</v>
      </c>
      <c r="E343">
        <v>0</v>
      </c>
      <c r="F343">
        <v>-900</v>
      </c>
      <c r="G343" t="s">
        <v>18</v>
      </c>
      <c r="H343" t="s">
        <v>19</v>
      </c>
      <c r="I343" t="s">
        <v>16</v>
      </c>
      <c r="J343" t="str">
        <f>TEXT(Data[[#This Row],[Date]],"mmm")</f>
        <v>Aug</v>
      </c>
      <c r="K343">
        <f>MONTH(Data[[#This Row],[Date]])</f>
        <v>8</v>
      </c>
      <c r="L343">
        <f>IF(Data[[#This Row],[Category Type]]="Income",Data[[#This Row],[Amount]],0)</f>
        <v>0</v>
      </c>
      <c r="M343">
        <f>IF(Data[[#This Row],[Category Type]]="Expense",-Data[[#This Row],[Amount]],0)</f>
        <v>900</v>
      </c>
    </row>
    <row r="344" spans="1:13" x14ac:dyDescent="0.25">
      <c r="A344" t="s">
        <v>9</v>
      </c>
      <c r="B344" s="1">
        <v>44413</v>
      </c>
      <c r="C344" t="s">
        <v>20</v>
      </c>
      <c r="D344">
        <v>150</v>
      </c>
      <c r="E344">
        <v>0</v>
      </c>
      <c r="F344">
        <v>-150</v>
      </c>
      <c r="G344" t="s">
        <v>21</v>
      </c>
      <c r="H344" t="s">
        <v>22</v>
      </c>
      <c r="I344" t="s">
        <v>16</v>
      </c>
      <c r="J344" t="str">
        <f>TEXT(Data[[#This Row],[Date]],"mmm")</f>
        <v>Aug</v>
      </c>
      <c r="K344">
        <f>MONTH(Data[[#This Row],[Date]])</f>
        <v>8</v>
      </c>
      <c r="L344">
        <f>IF(Data[[#This Row],[Category Type]]="Income",Data[[#This Row],[Amount]],0)</f>
        <v>0</v>
      </c>
      <c r="M344">
        <f>IF(Data[[#This Row],[Category Type]]="Expense",-Data[[#This Row],[Amount]],0)</f>
        <v>150</v>
      </c>
    </row>
    <row r="345" spans="1:13" x14ac:dyDescent="0.25">
      <c r="A345" t="s">
        <v>4</v>
      </c>
      <c r="B345" s="1">
        <v>44413</v>
      </c>
      <c r="C345" t="s">
        <v>13</v>
      </c>
      <c r="D345">
        <v>5</v>
      </c>
      <c r="E345">
        <v>0</v>
      </c>
      <c r="F345">
        <v>-5</v>
      </c>
      <c r="G345" t="s">
        <v>14</v>
      </c>
      <c r="H345" t="s">
        <v>15</v>
      </c>
      <c r="I345" t="s">
        <v>16</v>
      </c>
      <c r="J345" t="str">
        <f>TEXT(Data[[#This Row],[Date]],"mmm")</f>
        <v>Aug</v>
      </c>
      <c r="K345">
        <f>MONTH(Data[[#This Row],[Date]])</f>
        <v>8</v>
      </c>
      <c r="L345">
        <f>IF(Data[[#This Row],[Category Type]]="Income",Data[[#This Row],[Amount]],0)</f>
        <v>0</v>
      </c>
      <c r="M345">
        <f>IF(Data[[#This Row],[Category Type]]="Expense",-Data[[#This Row],[Amount]],0)</f>
        <v>5</v>
      </c>
    </row>
    <row r="346" spans="1:13" x14ac:dyDescent="0.25">
      <c r="A346" t="s">
        <v>4</v>
      </c>
      <c r="B346" s="1">
        <v>44414</v>
      </c>
      <c r="C346" t="s">
        <v>13</v>
      </c>
      <c r="D346">
        <v>5</v>
      </c>
      <c r="E346">
        <v>0</v>
      </c>
      <c r="F346">
        <v>-5</v>
      </c>
      <c r="G346" t="s">
        <v>14</v>
      </c>
      <c r="H346" t="s">
        <v>15</v>
      </c>
      <c r="I346" t="s">
        <v>16</v>
      </c>
      <c r="J346" t="str">
        <f>TEXT(Data[[#This Row],[Date]],"mmm")</f>
        <v>Aug</v>
      </c>
      <c r="K346">
        <f>MONTH(Data[[#This Row],[Date]])</f>
        <v>8</v>
      </c>
      <c r="L346">
        <f>IF(Data[[#This Row],[Category Type]]="Income",Data[[#This Row],[Amount]],0)</f>
        <v>0</v>
      </c>
      <c r="M346">
        <f>IF(Data[[#This Row],[Category Type]]="Expense",-Data[[#This Row],[Amount]],0)</f>
        <v>5</v>
      </c>
    </row>
    <row r="347" spans="1:13" x14ac:dyDescent="0.25">
      <c r="A347" t="s">
        <v>4</v>
      </c>
      <c r="B347" s="1">
        <v>44415</v>
      </c>
      <c r="C347" t="s">
        <v>13</v>
      </c>
      <c r="D347">
        <v>5</v>
      </c>
      <c r="E347">
        <v>0</v>
      </c>
      <c r="F347">
        <v>-5</v>
      </c>
      <c r="G347" t="s">
        <v>14</v>
      </c>
      <c r="H347" t="s">
        <v>15</v>
      </c>
      <c r="I347" t="s">
        <v>16</v>
      </c>
      <c r="J347" t="str">
        <f>TEXT(Data[[#This Row],[Date]],"mmm")</f>
        <v>Aug</v>
      </c>
      <c r="K347">
        <f>MONTH(Data[[#This Row],[Date]])</f>
        <v>8</v>
      </c>
      <c r="L347">
        <f>IF(Data[[#This Row],[Category Type]]="Income",Data[[#This Row],[Amount]],0)</f>
        <v>0</v>
      </c>
      <c r="M347">
        <f>IF(Data[[#This Row],[Category Type]]="Expense",-Data[[#This Row],[Amount]],0)</f>
        <v>5</v>
      </c>
    </row>
    <row r="348" spans="1:13" x14ac:dyDescent="0.25">
      <c r="A348" t="s">
        <v>4</v>
      </c>
      <c r="B348" s="1">
        <v>44415</v>
      </c>
      <c r="C348" t="s">
        <v>23</v>
      </c>
      <c r="D348">
        <v>137</v>
      </c>
      <c r="E348">
        <v>0</v>
      </c>
      <c r="F348">
        <v>-137</v>
      </c>
      <c r="G348" t="s">
        <v>24</v>
      </c>
      <c r="H348" t="s">
        <v>19</v>
      </c>
      <c r="I348" t="s">
        <v>16</v>
      </c>
      <c r="J348" t="str">
        <f>TEXT(Data[[#This Row],[Date]],"mmm")</f>
        <v>Aug</v>
      </c>
      <c r="K348">
        <f>MONTH(Data[[#This Row],[Date]])</f>
        <v>8</v>
      </c>
      <c r="L348">
        <f>IF(Data[[#This Row],[Category Type]]="Income",Data[[#This Row],[Amount]],0)</f>
        <v>0</v>
      </c>
      <c r="M348">
        <f>IF(Data[[#This Row],[Category Type]]="Expense",-Data[[#This Row],[Amount]],0)</f>
        <v>137</v>
      </c>
    </row>
    <row r="349" spans="1:13" x14ac:dyDescent="0.25">
      <c r="A349" t="s">
        <v>9</v>
      </c>
      <c r="B349" s="1">
        <v>44418</v>
      </c>
      <c r="C349" t="s">
        <v>25</v>
      </c>
      <c r="D349">
        <v>57</v>
      </c>
      <c r="E349">
        <v>0</v>
      </c>
      <c r="F349">
        <v>-57</v>
      </c>
      <c r="G349" t="s">
        <v>26</v>
      </c>
      <c r="H349" t="s">
        <v>19</v>
      </c>
      <c r="I349" t="s">
        <v>16</v>
      </c>
      <c r="J349" t="str">
        <f>TEXT(Data[[#This Row],[Date]],"mmm")</f>
        <v>Aug</v>
      </c>
      <c r="K349">
        <f>MONTH(Data[[#This Row],[Date]])</f>
        <v>8</v>
      </c>
      <c r="L349">
        <f>IF(Data[[#This Row],[Category Type]]="Income",Data[[#This Row],[Amount]],0)</f>
        <v>0</v>
      </c>
      <c r="M349">
        <f>IF(Data[[#This Row],[Category Type]]="Expense",-Data[[#This Row],[Amount]],0)</f>
        <v>57</v>
      </c>
    </row>
    <row r="350" spans="1:13" x14ac:dyDescent="0.25">
      <c r="A350" t="s">
        <v>4</v>
      </c>
      <c r="B350" s="1">
        <v>44418</v>
      </c>
      <c r="C350" t="s">
        <v>13</v>
      </c>
      <c r="D350">
        <v>5</v>
      </c>
      <c r="E350">
        <v>0</v>
      </c>
      <c r="F350">
        <v>-5</v>
      </c>
      <c r="G350" t="s">
        <v>14</v>
      </c>
      <c r="H350" t="s">
        <v>15</v>
      </c>
      <c r="I350" t="s">
        <v>16</v>
      </c>
      <c r="J350" t="str">
        <f>TEXT(Data[[#This Row],[Date]],"mmm")</f>
        <v>Aug</v>
      </c>
      <c r="K350">
        <f>MONTH(Data[[#This Row],[Date]])</f>
        <v>8</v>
      </c>
      <c r="L350">
        <f>IF(Data[[#This Row],[Category Type]]="Income",Data[[#This Row],[Amount]],0)</f>
        <v>0</v>
      </c>
      <c r="M350">
        <f>IF(Data[[#This Row],[Category Type]]="Expense",-Data[[#This Row],[Amount]],0)</f>
        <v>5</v>
      </c>
    </row>
    <row r="351" spans="1:13" x14ac:dyDescent="0.25">
      <c r="A351" t="s">
        <v>4</v>
      </c>
      <c r="B351" s="1">
        <v>44419</v>
      </c>
      <c r="C351" t="s">
        <v>13</v>
      </c>
      <c r="D351">
        <v>5</v>
      </c>
      <c r="E351">
        <v>0</v>
      </c>
      <c r="F351">
        <v>-5</v>
      </c>
      <c r="G351" t="s">
        <v>14</v>
      </c>
      <c r="H351" t="s">
        <v>15</v>
      </c>
      <c r="I351" t="s">
        <v>16</v>
      </c>
      <c r="J351" t="str">
        <f>TEXT(Data[[#This Row],[Date]],"mmm")</f>
        <v>Aug</v>
      </c>
      <c r="K351">
        <f>MONTH(Data[[#This Row],[Date]])</f>
        <v>8</v>
      </c>
      <c r="L351">
        <f>IF(Data[[#This Row],[Category Type]]="Income",Data[[#This Row],[Amount]],0)</f>
        <v>0</v>
      </c>
      <c r="M351">
        <f>IF(Data[[#This Row],[Category Type]]="Expense",-Data[[#This Row],[Amount]],0)</f>
        <v>5</v>
      </c>
    </row>
    <row r="352" spans="1:13" x14ac:dyDescent="0.25">
      <c r="A352" t="s">
        <v>4</v>
      </c>
      <c r="B352" s="1">
        <v>44420</v>
      </c>
      <c r="C352" t="s">
        <v>27</v>
      </c>
      <c r="D352">
        <v>84.199999999999989</v>
      </c>
      <c r="E352">
        <v>0</v>
      </c>
      <c r="F352">
        <v>-84.199999999999989</v>
      </c>
      <c r="G352" t="s">
        <v>28</v>
      </c>
      <c r="H352" t="s">
        <v>22</v>
      </c>
      <c r="I352" t="s">
        <v>16</v>
      </c>
      <c r="J352" t="str">
        <f>TEXT(Data[[#This Row],[Date]],"mmm")</f>
        <v>Aug</v>
      </c>
      <c r="K352">
        <f>MONTH(Data[[#This Row],[Date]])</f>
        <v>8</v>
      </c>
      <c r="L352">
        <f>IF(Data[[#This Row],[Category Type]]="Income",Data[[#This Row],[Amount]],0)</f>
        <v>0</v>
      </c>
      <c r="M352">
        <f>IF(Data[[#This Row],[Category Type]]="Expense",-Data[[#This Row],[Amount]],0)</f>
        <v>84.199999999999989</v>
      </c>
    </row>
    <row r="353" spans="1:13" x14ac:dyDescent="0.25">
      <c r="A353" t="s">
        <v>4</v>
      </c>
      <c r="B353" s="1">
        <v>44420</v>
      </c>
      <c r="C353" t="s">
        <v>13</v>
      </c>
      <c r="D353">
        <v>5</v>
      </c>
      <c r="E353">
        <v>0</v>
      </c>
      <c r="F353">
        <v>-5</v>
      </c>
      <c r="G353" t="s">
        <v>14</v>
      </c>
      <c r="H353" t="s">
        <v>15</v>
      </c>
      <c r="I353" t="s">
        <v>16</v>
      </c>
      <c r="J353" t="str">
        <f>TEXT(Data[[#This Row],[Date]],"mmm")</f>
        <v>Aug</v>
      </c>
      <c r="K353">
        <f>MONTH(Data[[#This Row],[Date]])</f>
        <v>8</v>
      </c>
      <c r="L353">
        <f>IF(Data[[#This Row],[Category Type]]="Income",Data[[#This Row],[Amount]],0)</f>
        <v>0</v>
      </c>
      <c r="M353">
        <f>IF(Data[[#This Row],[Category Type]]="Expense",-Data[[#This Row],[Amount]],0)</f>
        <v>5</v>
      </c>
    </row>
    <row r="354" spans="1:13" x14ac:dyDescent="0.25">
      <c r="A354" t="s">
        <v>4</v>
      </c>
      <c r="B354" s="1">
        <v>44421</v>
      </c>
      <c r="C354" t="s">
        <v>13</v>
      </c>
      <c r="D354">
        <v>5</v>
      </c>
      <c r="E354">
        <v>0</v>
      </c>
      <c r="F354">
        <v>-5</v>
      </c>
      <c r="G354" t="s">
        <v>14</v>
      </c>
      <c r="H354" t="s">
        <v>15</v>
      </c>
      <c r="I354" t="s">
        <v>16</v>
      </c>
      <c r="J354" t="str">
        <f>TEXT(Data[[#This Row],[Date]],"mmm")</f>
        <v>Aug</v>
      </c>
      <c r="K354">
        <f>MONTH(Data[[#This Row],[Date]])</f>
        <v>8</v>
      </c>
      <c r="L354">
        <f>IF(Data[[#This Row],[Category Type]]="Income",Data[[#This Row],[Amount]],0)</f>
        <v>0</v>
      </c>
      <c r="M354">
        <f>IF(Data[[#This Row],[Category Type]]="Expense",-Data[[#This Row],[Amount]],0)</f>
        <v>5</v>
      </c>
    </row>
    <row r="355" spans="1:13" x14ac:dyDescent="0.25">
      <c r="A355" t="s">
        <v>4</v>
      </c>
      <c r="B355" s="1">
        <v>44422</v>
      </c>
      <c r="C355" t="s">
        <v>23</v>
      </c>
      <c r="D355">
        <v>142.1</v>
      </c>
      <c r="E355">
        <v>0</v>
      </c>
      <c r="F355">
        <v>-142.1</v>
      </c>
      <c r="G355" t="s">
        <v>24</v>
      </c>
      <c r="H355" t="s">
        <v>19</v>
      </c>
      <c r="I355" t="s">
        <v>16</v>
      </c>
      <c r="J355" t="str">
        <f>TEXT(Data[[#This Row],[Date]],"mmm")</f>
        <v>Aug</v>
      </c>
      <c r="K355">
        <f>MONTH(Data[[#This Row],[Date]])</f>
        <v>8</v>
      </c>
      <c r="L355">
        <f>IF(Data[[#This Row],[Category Type]]="Income",Data[[#This Row],[Amount]],0)</f>
        <v>0</v>
      </c>
      <c r="M355">
        <f>IF(Data[[#This Row],[Category Type]]="Expense",-Data[[#This Row],[Amount]],0)</f>
        <v>142.1</v>
      </c>
    </row>
    <row r="356" spans="1:13" x14ac:dyDescent="0.25">
      <c r="A356" t="s">
        <v>4</v>
      </c>
      <c r="B356" s="1">
        <v>44422</v>
      </c>
      <c r="C356" t="s">
        <v>13</v>
      </c>
      <c r="D356">
        <v>5</v>
      </c>
      <c r="E356">
        <v>0</v>
      </c>
      <c r="F356">
        <v>-5</v>
      </c>
      <c r="G356" t="s">
        <v>14</v>
      </c>
      <c r="H356" t="s">
        <v>15</v>
      </c>
      <c r="I356" t="s">
        <v>16</v>
      </c>
      <c r="J356" t="str">
        <f>TEXT(Data[[#This Row],[Date]],"mmm")</f>
        <v>Aug</v>
      </c>
      <c r="K356">
        <f>MONTH(Data[[#This Row],[Date]])</f>
        <v>8</v>
      </c>
      <c r="L356">
        <f>IF(Data[[#This Row],[Category Type]]="Income",Data[[#This Row],[Amount]],0)</f>
        <v>0</v>
      </c>
      <c r="M356">
        <f>IF(Data[[#This Row],[Category Type]]="Expense",-Data[[#This Row],[Amount]],0)</f>
        <v>5</v>
      </c>
    </row>
    <row r="357" spans="1:13" x14ac:dyDescent="0.25">
      <c r="A357" t="s">
        <v>4</v>
      </c>
      <c r="B357" s="1">
        <v>44423</v>
      </c>
      <c r="C357" t="s">
        <v>13</v>
      </c>
      <c r="D357">
        <v>5</v>
      </c>
      <c r="E357">
        <v>0</v>
      </c>
      <c r="F357">
        <v>-5</v>
      </c>
      <c r="G357" t="s">
        <v>14</v>
      </c>
      <c r="H357" t="s">
        <v>15</v>
      </c>
      <c r="I357" t="s">
        <v>16</v>
      </c>
      <c r="J357" t="str">
        <f>TEXT(Data[[#This Row],[Date]],"mmm")</f>
        <v>Aug</v>
      </c>
      <c r="K357">
        <f>MONTH(Data[[#This Row],[Date]])</f>
        <v>8</v>
      </c>
      <c r="L357">
        <f>IF(Data[[#This Row],[Category Type]]="Income",Data[[#This Row],[Amount]],0)</f>
        <v>0</v>
      </c>
      <c r="M357">
        <f>IF(Data[[#This Row],[Category Type]]="Expense",-Data[[#This Row],[Amount]],0)</f>
        <v>5</v>
      </c>
    </row>
    <row r="358" spans="1:13" x14ac:dyDescent="0.25">
      <c r="A358" t="s">
        <v>4</v>
      </c>
      <c r="B358" s="1">
        <v>44423</v>
      </c>
      <c r="C358" t="s">
        <v>29</v>
      </c>
      <c r="D358">
        <v>46.8</v>
      </c>
      <c r="E358">
        <v>0</v>
      </c>
      <c r="F358">
        <v>-46.8</v>
      </c>
      <c r="G358" t="s">
        <v>21</v>
      </c>
      <c r="H358" t="s">
        <v>30</v>
      </c>
      <c r="I358" t="s">
        <v>16</v>
      </c>
      <c r="J358" t="str">
        <f>TEXT(Data[[#This Row],[Date]],"mmm")</f>
        <v>Aug</v>
      </c>
      <c r="K358">
        <f>MONTH(Data[[#This Row],[Date]])</f>
        <v>8</v>
      </c>
      <c r="L358">
        <f>IF(Data[[#This Row],[Category Type]]="Income",Data[[#This Row],[Amount]],0)</f>
        <v>0</v>
      </c>
      <c r="M358">
        <f>IF(Data[[#This Row],[Category Type]]="Expense",-Data[[#This Row],[Amount]],0)</f>
        <v>46.8</v>
      </c>
    </row>
    <row r="359" spans="1:13" x14ac:dyDescent="0.25">
      <c r="A359" t="s">
        <v>4</v>
      </c>
      <c r="B359" s="1">
        <v>44423</v>
      </c>
      <c r="C359" t="s">
        <v>31</v>
      </c>
      <c r="D359">
        <v>104.70000000000002</v>
      </c>
      <c r="E359">
        <v>0</v>
      </c>
      <c r="F359">
        <v>-104.70000000000002</v>
      </c>
      <c r="G359" t="s">
        <v>32</v>
      </c>
      <c r="H359" t="s">
        <v>30</v>
      </c>
      <c r="I359" t="s">
        <v>16</v>
      </c>
      <c r="J359" t="str">
        <f>TEXT(Data[[#This Row],[Date]],"mmm")</f>
        <v>Aug</v>
      </c>
      <c r="K359">
        <f>MONTH(Data[[#This Row],[Date]])</f>
        <v>8</v>
      </c>
      <c r="L359">
        <f>IF(Data[[#This Row],[Category Type]]="Income",Data[[#This Row],[Amount]],0)</f>
        <v>0</v>
      </c>
      <c r="M359">
        <f>IF(Data[[#This Row],[Category Type]]="Expense",-Data[[#This Row],[Amount]],0)</f>
        <v>104.70000000000002</v>
      </c>
    </row>
    <row r="360" spans="1:13" x14ac:dyDescent="0.25">
      <c r="A360" t="s">
        <v>4</v>
      </c>
      <c r="B360" s="1">
        <v>44423</v>
      </c>
      <c r="C360" t="s">
        <v>33</v>
      </c>
      <c r="D360">
        <v>59.1</v>
      </c>
      <c r="E360">
        <v>0</v>
      </c>
      <c r="F360">
        <v>-59.1</v>
      </c>
      <c r="G360" t="s">
        <v>34</v>
      </c>
      <c r="H360" t="s">
        <v>15</v>
      </c>
      <c r="I360" t="s">
        <v>16</v>
      </c>
      <c r="J360" t="str">
        <f>TEXT(Data[[#This Row],[Date]],"mmm")</f>
        <v>Aug</v>
      </c>
      <c r="K360">
        <f>MONTH(Data[[#This Row],[Date]])</f>
        <v>8</v>
      </c>
      <c r="L360">
        <f>IF(Data[[#This Row],[Category Type]]="Income",Data[[#This Row],[Amount]],0)</f>
        <v>0</v>
      </c>
      <c r="M360">
        <f>IF(Data[[#This Row],[Category Type]]="Expense",-Data[[#This Row],[Amount]],0)</f>
        <v>59.1</v>
      </c>
    </row>
    <row r="361" spans="1:13" x14ac:dyDescent="0.25">
      <c r="A361" t="s">
        <v>4</v>
      </c>
      <c r="B361" s="1">
        <v>44424</v>
      </c>
      <c r="C361" t="s">
        <v>35</v>
      </c>
      <c r="D361">
        <v>35.1</v>
      </c>
      <c r="E361">
        <v>0</v>
      </c>
      <c r="F361">
        <v>-35.1</v>
      </c>
      <c r="G361" t="s">
        <v>36</v>
      </c>
      <c r="H361" t="s">
        <v>22</v>
      </c>
      <c r="I361" t="s">
        <v>16</v>
      </c>
      <c r="J361" t="str">
        <f>TEXT(Data[[#This Row],[Date]],"mmm")</f>
        <v>Aug</v>
      </c>
      <c r="K361">
        <f>MONTH(Data[[#This Row],[Date]])</f>
        <v>8</v>
      </c>
      <c r="L361">
        <f>IF(Data[[#This Row],[Category Type]]="Income",Data[[#This Row],[Amount]],0)</f>
        <v>0</v>
      </c>
      <c r="M361">
        <f>IF(Data[[#This Row],[Category Type]]="Expense",-Data[[#This Row],[Amount]],0)</f>
        <v>35.1</v>
      </c>
    </row>
    <row r="362" spans="1:13" x14ac:dyDescent="0.25">
      <c r="A362" t="s">
        <v>9</v>
      </c>
      <c r="B362" s="1">
        <v>44425</v>
      </c>
      <c r="C362" t="s">
        <v>37</v>
      </c>
      <c r="D362">
        <v>30</v>
      </c>
      <c r="E362">
        <v>0</v>
      </c>
      <c r="F362">
        <v>-30</v>
      </c>
      <c r="G362" t="s">
        <v>38</v>
      </c>
      <c r="H362" t="s">
        <v>30</v>
      </c>
      <c r="I362" t="s">
        <v>16</v>
      </c>
      <c r="J362" t="str">
        <f>TEXT(Data[[#This Row],[Date]],"mmm")</f>
        <v>Aug</v>
      </c>
      <c r="K362">
        <f>MONTH(Data[[#This Row],[Date]])</f>
        <v>8</v>
      </c>
      <c r="L362">
        <f>IF(Data[[#This Row],[Category Type]]="Income",Data[[#This Row],[Amount]],0)</f>
        <v>0</v>
      </c>
      <c r="M362">
        <f>IF(Data[[#This Row],[Category Type]]="Expense",-Data[[#This Row],[Amount]],0)</f>
        <v>30</v>
      </c>
    </row>
    <row r="363" spans="1:13" x14ac:dyDescent="0.25">
      <c r="A363" t="s">
        <v>4</v>
      </c>
      <c r="B363" s="1">
        <v>44425</v>
      </c>
      <c r="C363" t="s">
        <v>13</v>
      </c>
      <c r="D363">
        <v>5</v>
      </c>
      <c r="E363">
        <v>0</v>
      </c>
      <c r="F363">
        <v>-5</v>
      </c>
      <c r="G363" t="s">
        <v>14</v>
      </c>
      <c r="H363" t="s">
        <v>15</v>
      </c>
      <c r="I363" t="s">
        <v>16</v>
      </c>
      <c r="J363" t="str">
        <f>TEXT(Data[[#This Row],[Date]],"mmm")</f>
        <v>Aug</v>
      </c>
      <c r="K363">
        <f>MONTH(Data[[#This Row],[Date]])</f>
        <v>8</v>
      </c>
      <c r="L363">
        <f>IF(Data[[#This Row],[Category Type]]="Income",Data[[#This Row],[Amount]],0)</f>
        <v>0</v>
      </c>
      <c r="M363">
        <f>IF(Data[[#This Row],[Category Type]]="Expense",-Data[[#This Row],[Amount]],0)</f>
        <v>5</v>
      </c>
    </row>
    <row r="364" spans="1:13" x14ac:dyDescent="0.25">
      <c r="A364" t="s">
        <v>4</v>
      </c>
      <c r="B364" s="1">
        <v>44426</v>
      </c>
      <c r="C364" t="s">
        <v>13</v>
      </c>
      <c r="D364">
        <v>5</v>
      </c>
      <c r="E364">
        <v>0</v>
      </c>
      <c r="F364">
        <v>-5</v>
      </c>
      <c r="G364" t="s">
        <v>14</v>
      </c>
      <c r="H364" t="s">
        <v>15</v>
      </c>
      <c r="I364" t="s">
        <v>16</v>
      </c>
      <c r="J364" t="str">
        <f>TEXT(Data[[#This Row],[Date]],"mmm")</f>
        <v>Aug</v>
      </c>
      <c r="K364">
        <f>MONTH(Data[[#This Row],[Date]])</f>
        <v>8</v>
      </c>
      <c r="L364">
        <f>IF(Data[[#This Row],[Category Type]]="Income",Data[[#This Row],[Amount]],0)</f>
        <v>0</v>
      </c>
      <c r="M364">
        <f>IF(Data[[#This Row],[Category Type]]="Expense",-Data[[#This Row],[Amount]],0)</f>
        <v>5</v>
      </c>
    </row>
    <row r="365" spans="1:13" x14ac:dyDescent="0.25">
      <c r="A365" t="s">
        <v>9</v>
      </c>
      <c r="B365" s="1">
        <v>44426</v>
      </c>
      <c r="C365" t="s">
        <v>42</v>
      </c>
      <c r="D365">
        <v>40</v>
      </c>
      <c r="E365">
        <v>0</v>
      </c>
      <c r="F365">
        <v>-40</v>
      </c>
      <c r="G365" t="s">
        <v>43</v>
      </c>
      <c r="H365" t="s">
        <v>19</v>
      </c>
      <c r="I365" t="s">
        <v>16</v>
      </c>
      <c r="J365" t="str">
        <f>TEXT(Data[[#This Row],[Date]],"mmm")</f>
        <v>Aug</v>
      </c>
      <c r="K365">
        <f>MONTH(Data[[#This Row],[Date]])</f>
        <v>8</v>
      </c>
      <c r="L365">
        <f>IF(Data[[#This Row],[Category Type]]="Income",Data[[#This Row],[Amount]],0)</f>
        <v>0</v>
      </c>
      <c r="M365">
        <f>IF(Data[[#This Row],[Category Type]]="Expense",-Data[[#This Row],[Amount]],0)</f>
        <v>40</v>
      </c>
    </row>
    <row r="366" spans="1:13" x14ac:dyDescent="0.25">
      <c r="A366" t="s">
        <v>4</v>
      </c>
      <c r="B366" s="1">
        <v>44427</v>
      </c>
      <c r="C366" t="s">
        <v>44</v>
      </c>
      <c r="D366">
        <v>52.1</v>
      </c>
      <c r="E366">
        <v>0</v>
      </c>
      <c r="F366">
        <v>-52.1</v>
      </c>
      <c r="G366" t="s">
        <v>45</v>
      </c>
      <c r="H366" t="s">
        <v>30</v>
      </c>
      <c r="I366" t="s">
        <v>16</v>
      </c>
      <c r="J366" t="str">
        <f>TEXT(Data[[#This Row],[Date]],"mmm")</f>
        <v>Aug</v>
      </c>
      <c r="K366">
        <f>MONTH(Data[[#This Row],[Date]])</f>
        <v>8</v>
      </c>
      <c r="L366">
        <f>IF(Data[[#This Row],[Category Type]]="Income",Data[[#This Row],[Amount]],0)</f>
        <v>0</v>
      </c>
      <c r="M366">
        <f>IF(Data[[#This Row],[Category Type]]="Expense",-Data[[#This Row],[Amount]],0)</f>
        <v>52.1</v>
      </c>
    </row>
    <row r="367" spans="1:13" x14ac:dyDescent="0.25">
      <c r="A367" t="s">
        <v>4</v>
      </c>
      <c r="B367" s="1">
        <v>44427</v>
      </c>
      <c r="C367" t="s">
        <v>46</v>
      </c>
      <c r="D367">
        <v>35</v>
      </c>
      <c r="E367">
        <v>0</v>
      </c>
      <c r="F367">
        <v>-35</v>
      </c>
      <c r="G367" t="s">
        <v>21</v>
      </c>
      <c r="H367" t="s">
        <v>30</v>
      </c>
      <c r="I367" t="s">
        <v>16</v>
      </c>
      <c r="J367" t="str">
        <f>TEXT(Data[[#This Row],[Date]],"mmm")</f>
        <v>Aug</v>
      </c>
      <c r="K367">
        <f>MONTH(Data[[#This Row],[Date]])</f>
        <v>8</v>
      </c>
      <c r="L367">
        <f>IF(Data[[#This Row],[Category Type]]="Income",Data[[#This Row],[Amount]],0)</f>
        <v>0</v>
      </c>
      <c r="M367">
        <f>IF(Data[[#This Row],[Category Type]]="Expense",-Data[[#This Row],[Amount]],0)</f>
        <v>35</v>
      </c>
    </row>
    <row r="368" spans="1:13" x14ac:dyDescent="0.25">
      <c r="A368" t="s">
        <v>4</v>
      </c>
      <c r="B368" s="1">
        <v>44427</v>
      </c>
      <c r="C368" t="s">
        <v>13</v>
      </c>
      <c r="D368">
        <v>5</v>
      </c>
      <c r="E368">
        <v>0</v>
      </c>
      <c r="F368">
        <v>-5</v>
      </c>
      <c r="G368" t="s">
        <v>14</v>
      </c>
      <c r="H368" t="s">
        <v>15</v>
      </c>
      <c r="I368" t="s">
        <v>16</v>
      </c>
      <c r="J368" t="str">
        <f>TEXT(Data[[#This Row],[Date]],"mmm")</f>
        <v>Aug</v>
      </c>
      <c r="K368">
        <f>MONTH(Data[[#This Row],[Date]])</f>
        <v>8</v>
      </c>
      <c r="L368">
        <f>IF(Data[[#This Row],[Category Type]]="Income",Data[[#This Row],[Amount]],0)</f>
        <v>0</v>
      </c>
      <c r="M368">
        <f>IF(Data[[#This Row],[Category Type]]="Expense",-Data[[#This Row],[Amount]],0)</f>
        <v>5</v>
      </c>
    </row>
    <row r="369" spans="1:13" x14ac:dyDescent="0.25">
      <c r="A369" t="s">
        <v>4</v>
      </c>
      <c r="B369" s="1">
        <v>44428</v>
      </c>
      <c r="C369" t="s">
        <v>13</v>
      </c>
      <c r="D369">
        <v>5</v>
      </c>
      <c r="E369">
        <v>0</v>
      </c>
      <c r="F369">
        <v>-5</v>
      </c>
      <c r="G369" t="s">
        <v>14</v>
      </c>
      <c r="H369" t="s">
        <v>15</v>
      </c>
      <c r="I369" t="s">
        <v>16</v>
      </c>
      <c r="J369" t="str">
        <f>TEXT(Data[[#This Row],[Date]],"mmm")</f>
        <v>Aug</v>
      </c>
      <c r="K369">
        <f>MONTH(Data[[#This Row],[Date]])</f>
        <v>8</v>
      </c>
      <c r="L369">
        <f>IF(Data[[#This Row],[Category Type]]="Income",Data[[#This Row],[Amount]],0)</f>
        <v>0</v>
      </c>
      <c r="M369">
        <f>IF(Data[[#This Row],[Category Type]]="Expense",-Data[[#This Row],[Amount]],0)</f>
        <v>5</v>
      </c>
    </row>
    <row r="370" spans="1:13" x14ac:dyDescent="0.25">
      <c r="A370" t="s">
        <v>4</v>
      </c>
      <c r="B370" s="1">
        <v>44429</v>
      </c>
      <c r="C370" t="s">
        <v>13</v>
      </c>
      <c r="D370">
        <v>5</v>
      </c>
      <c r="E370">
        <v>0</v>
      </c>
      <c r="F370">
        <v>-5</v>
      </c>
      <c r="G370" t="s">
        <v>14</v>
      </c>
      <c r="H370" t="s">
        <v>15</v>
      </c>
      <c r="I370" t="s">
        <v>16</v>
      </c>
      <c r="J370" t="str">
        <f>TEXT(Data[[#This Row],[Date]],"mmm")</f>
        <v>Aug</v>
      </c>
      <c r="K370">
        <f>MONTH(Data[[#This Row],[Date]])</f>
        <v>8</v>
      </c>
      <c r="L370">
        <f>IF(Data[[#This Row],[Category Type]]="Income",Data[[#This Row],[Amount]],0)</f>
        <v>0</v>
      </c>
      <c r="M370">
        <f>IF(Data[[#This Row],[Category Type]]="Expense",-Data[[#This Row],[Amount]],0)</f>
        <v>5</v>
      </c>
    </row>
    <row r="371" spans="1:13" x14ac:dyDescent="0.25">
      <c r="A371" t="s">
        <v>4</v>
      </c>
      <c r="B371" s="1">
        <v>44429</v>
      </c>
      <c r="C371" t="s">
        <v>23</v>
      </c>
      <c r="D371">
        <v>177</v>
      </c>
      <c r="E371">
        <v>0</v>
      </c>
      <c r="F371">
        <v>-177</v>
      </c>
      <c r="G371" t="s">
        <v>24</v>
      </c>
      <c r="H371" t="s">
        <v>19</v>
      </c>
      <c r="I371" t="s">
        <v>16</v>
      </c>
      <c r="J371" t="str">
        <f>TEXT(Data[[#This Row],[Date]],"mmm")</f>
        <v>Aug</v>
      </c>
      <c r="K371">
        <f>MONTH(Data[[#This Row],[Date]])</f>
        <v>8</v>
      </c>
      <c r="L371">
        <f>IF(Data[[#This Row],[Category Type]]="Income",Data[[#This Row],[Amount]],0)</f>
        <v>0</v>
      </c>
      <c r="M371">
        <f>IF(Data[[#This Row],[Category Type]]="Expense",-Data[[#This Row],[Amount]],0)</f>
        <v>177</v>
      </c>
    </row>
    <row r="372" spans="1:13" x14ac:dyDescent="0.25">
      <c r="A372" t="s">
        <v>4</v>
      </c>
      <c r="B372" s="1">
        <v>44430</v>
      </c>
      <c r="C372" t="s">
        <v>47</v>
      </c>
      <c r="D372">
        <v>44.2</v>
      </c>
      <c r="E372">
        <v>0</v>
      </c>
      <c r="F372">
        <v>-44.2</v>
      </c>
      <c r="G372" t="s">
        <v>34</v>
      </c>
      <c r="H372" t="s">
        <v>15</v>
      </c>
      <c r="I372" t="s">
        <v>16</v>
      </c>
      <c r="J372" t="str">
        <f>TEXT(Data[[#This Row],[Date]],"mmm")</f>
        <v>Aug</v>
      </c>
      <c r="K372">
        <f>MONTH(Data[[#This Row],[Date]])</f>
        <v>8</v>
      </c>
      <c r="L372">
        <f>IF(Data[[#This Row],[Category Type]]="Income",Data[[#This Row],[Amount]],0)</f>
        <v>0</v>
      </c>
      <c r="M372">
        <f>IF(Data[[#This Row],[Category Type]]="Expense",-Data[[#This Row],[Amount]],0)</f>
        <v>44.2</v>
      </c>
    </row>
    <row r="373" spans="1:13" x14ac:dyDescent="0.25">
      <c r="A373" t="s">
        <v>4</v>
      </c>
      <c r="B373" s="1">
        <v>44431</v>
      </c>
      <c r="C373" t="s">
        <v>48</v>
      </c>
      <c r="D373">
        <v>19.2</v>
      </c>
      <c r="E373">
        <v>0</v>
      </c>
      <c r="F373">
        <v>-19.2</v>
      </c>
      <c r="G373" t="s">
        <v>34</v>
      </c>
      <c r="H373" t="s">
        <v>15</v>
      </c>
      <c r="I373" t="s">
        <v>16</v>
      </c>
      <c r="J373" t="str">
        <f>TEXT(Data[[#This Row],[Date]],"mmm")</f>
        <v>Aug</v>
      </c>
      <c r="K373">
        <f>MONTH(Data[[#This Row],[Date]])</f>
        <v>8</v>
      </c>
      <c r="L373">
        <f>IF(Data[[#This Row],[Category Type]]="Income",Data[[#This Row],[Amount]],0)</f>
        <v>0</v>
      </c>
      <c r="M373">
        <f>IF(Data[[#This Row],[Category Type]]="Expense",-Data[[#This Row],[Amount]],0)</f>
        <v>19.2</v>
      </c>
    </row>
    <row r="374" spans="1:13" x14ac:dyDescent="0.25">
      <c r="A374" t="s">
        <v>9</v>
      </c>
      <c r="B374" s="1">
        <v>44432</v>
      </c>
      <c r="C374" t="s">
        <v>49</v>
      </c>
      <c r="D374">
        <v>55</v>
      </c>
      <c r="E374">
        <v>0</v>
      </c>
      <c r="F374">
        <v>-55</v>
      </c>
      <c r="G374" t="s">
        <v>50</v>
      </c>
      <c r="H374" t="s">
        <v>51</v>
      </c>
      <c r="I374" t="s">
        <v>16</v>
      </c>
      <c r="J374" t="str">
        <f>TEXT(Data[[#This Row],[Date]],"mmm")</f>
        <v>Aug</v>
      </c>
      <c r="K374">
        <f>MONTH(Data[[#This Row],[Date]])</f>
        <v>8</v>
      </c>
      <c r="L374">
        <f>IF(Data[[#This Row],[Category Type]]="Income",Data[[#This Row],[Amount]],0)</f>
        <v>0</v>
      </c>
      <c r="M374">
        <f>IF(Data[[#This Row],[Category Type]]="Expense",-Data[[#This Row],[Amount]],0)</f>
        <v>55</v>
      </c>
    </row>
    <row r="375" spans="1:13" x14ac:dyDescent="0.25">
      <c r="A375" t="s">
        <v>4</v>
      </c>
      <c r="B375" s="1">
        <v>44432</v>
      </c>
      <c r="C375" t="s">
        <v>27</v>
      </c>
      <c r="D375">
        <v>69.700000000000017</v>
      </c>
      <c r="E375">
        <v>0</v>
      </c>
      <c r="F375">
        <v>-69.700000000000017</v>
      </c>
      <c r="G375" t="s">
        <v>28</v>
      </c>
      <c r="H375" t="s">
        <v>22</v>
      </c>
      <c r="I375" t="s">
        <v>16</v>
      </c>
      <c r="J375" t="str">
        <f>TEXT(Data[[#This Row],[Date]],"mmm")</f>
        <v>Aug</v>
      </c>
      <c r="K375">
        <f>MONTH(Data[[#This Row],[Date]])</f>
        <v>8</v>
      </c>
      <c r="L375">
        <f>IF(Data[[#This Row],[Category Type]]="Income",Data[[#This Row],[Amount]],0)</f>
        <v>0</v>
      </c>
      <c r="M375">
        <f>IF(Data[[#This Row],[Category Type]]="Expense",-Data[[#This Row],[Amount]],0)</f>
        <v>69.700000000000017</v>
      </c>
    </row>
    <row r="376" spans="1:13" x14ac:dyDescent="0.25">
      <c r="A376" t="s">
        <v>4</v>
      </c>
      <c r="B376" s="1">
        <v>44432</v>
      </c>
      <c r="C376" t="s">
        <v>13</v>
      </c>
      <c r="D376">
        <v>5</v>
      </c>
      <c r="E376">
        <v>0</v>
      </c>
      <c r="F376">
        <v>-5</v>
      </c>
      <c r="G376" t="s">
        <v>14</v>
      </c>
      <c r="H376" t="s">
        <v>15</v>
      </c>
      <c r="I376" t="s">
        <v>16</v>
      </c>
      <c r="J376" t="str">
        <f>TEXT(Data[[#This Row],[Date]],"mmm")</f>
        <v>Aug</v>
      </c>
      <c r="K376">
        <f>MONTH(Data[[#This Row],[Date]])</f>
        <v>8</v>
      </c>
      <c r="L376">
        <f>IF(Data[[#This Row],[Category Type]]="Income",Data[[#This Row],[Amount]],0)</f>
        <v>0</v>
      </c>
      <c r="M376">
        <f>IF(Data[[#This Row],[Category Type]]="Expense",-Data[[#This Row],[Amount]],0)</f>
        <v>5</v>
      </c>
    </row>
    <row r="377" spans="1:13" x14ac:dyDescent="0.25">
      <c r="A377" t="s">
        <v>4</v>
      </c>
      <c r="B377" s="1">
        <v>44433</v>
      </c>
      <c r="C377" t="s">
        <v>13</v>
      </c>
      <c r="D377">
        <v>5</v>
      </c>
      <c r="E377">
        <v>0</v>
      </c>
      <c r="F377">
        <v>-5</v>
      </c>
      <c r="G377" t="s">
        <v>14</v>
      </c>
      <c r="H377" t="s">
        <v>15</v>
      </c>
      <c r="I377" t="s">
        <v>16</v>
      </c>
      <c r="J377" t="str">
        <f>TEXT(Data[[#This Row],[Date]],"mmm")</f>
        <v>Aug</v>
      </c>
      <c r="K377">
        <f>MONTH(Data[[#This Row],[Date]])</f>
        <v>8</v>
      </c>
      <c r="L377">
        <f>IF(Data[[#This Row],[Category Type]]="Income",Data[[#This Row],[Amount]],0)</f>
        <v>0</v>
      </c>
      <c r="M377">
        <f>IF(Data[[#This Row],[Category Type]]="Expense",-Data[[#This Row],[Amount]],0)</f>
        <v>5</v>
      </c>
    </row>
    <row r="378" spans="1:13" x14ac:dyDescent="0.25">
      <c r="A378" t="s">
        <v>4</v>
      </c>
      <c r="B378" s="1">
        <v>44434</v>
      </c>
      <c r="C378" t="s">
        <v>13</v>
      </c>
      <c r="D378">
        <v>5</v>
      </c>
      <c r="E378">
        <v>0</v>
      </c>
      <c r="F378">
        <v>-5</v>
      </c>
      <c r="G378" t="s">
        <v>14</v>
      </c>
      <c r="H378" t="s">
        <v>15</v>
      </c>
      <c r="I378" t="s">
        <v>16</v>
      </c>
      <c r="J378" t="str">
        <f>TEXT(Data[[#This Row],[Date]],"mmm")</f>
        <v>Aug</v>
      </c>
      <c r="K378">
        <f>MONTH(Data[[#This Row],[Date]])</f>
        <v>8</v>
      </c>
      <c r="L378">
        <f>IF(Data[[#This Row],[Category Type]]="Income",Data[[#This Row],[Amount]],0)</f>
        <v>0</v>
      </c>
      <c r="M378">
        <f>IF(Data[[#This Row],[Category Type]]="Expense",-Data[[#This Row],[Amount]],0)</f>
        <v>5</v>
      </c>
    </row>
    <row r="379" spans="1:13" x14ac:dyDescent="0.25">
      <c r="A379" t="s">
        <v>4</v>
      </c>
      <c r="B379" s="1">
        <v>44435</v>
      </c>
      <c r="C379" t="s">
        <v>13</v>
      </c>
      <c r="D379">
        <v>5</v>
      </c>
      <c r="E379">
        <v>0</v>
      </c>
      <c r="F379">
        <v>-5</v>
      </c>
      <c r="G379" t="s">
        <v>14</v>
      </c>
      <c r="H379" t="s">
        <v>15</v>
      </c>
      <c r="I379" t="s">
        <v>16</v>
      </c>
      <c r="J379" t="str">
        <f>TEXT(Data[[#This Row],[Date]],"mmm")</f>
        <v>Aug</v>
      </c>
      <c r="K379">
        <f>MONTH(Data[[#This Row],[Date]])</f>
        <v>8</v>
      </c>
      <c r="L379">
        <f>IF(Data[[#This Row],[Category Type]]="Income",Data[[#This Row],[Amount]],0)</f>
        <v>0</v>
      </c>
      <c r="M379">
        <f>IF(Data[[#This Row],[Category Type]]="Expense",-Data[[#This Row],[Amount]],0)</f>
        <v>5</v>
      </c>
    </row>
    <row r="380" spans="1:13" x14ac:dyDescent="0.25">
      <c r="A380" t="s">
        <v>4</v>
      </c>
      <c r="B380" s="1">
        <v>44436</v>
      </c>
      <c r="C380" t="s">
        <v>13</v>
      </c>
      <c r="D380">
        <v>5</v>
      </c>
      <c r="E380">
        <v>0</v>
      </c>
      <c r="F380">
        <v>-5</v>
      </c>
      <c r="G380" t="s">
        <v>14</v>
      </c>
      <c r="H380" t="s">
        <v>15</v>
      </c>
      <c r="I380" t="s">
        <v>16</v>
      </c>
      <c r="J380" t="str">
        <f>TEXT(Data[[#This Row],[Date]],"mmm")</f>
        <v>Aug</v>
      </c>
      <c r="K380">
        <f>MONTH(Data[[#This Row],[Date]])</f>
        <v>8</v>
      </c>
      <c r="L380">
        <f>IF(Data[[#This Row],[Category Type]]="Income",Data[[#This Row],[Amount]],0)</f>
        <v>0</v>
      </c>
      <c r="M380">
        <f>IF(Data[[#This Row],[Category Type]]="Expense",-Data[[#This Row],[Amount]],0)</f>
        <v>5</v>
      </c>
    </row>
    <row r="381" spans="1:13" x14ac:dyDescent="0.25">
      <c r="A381" t="s">
        <v>4</v>
      </c>
      <c r="B381" s="1">
        <v>44436</v>
      </c>
      <c r="C381" t="s">
        <v>23</v>
      </c>
      <c r="D381">
        <v>117</v>
      </c>
      <c r="E381">
        <v>0</v>
      </c>
      <c r="F381">
        <v>-117</v>
      </c>
      <c r="G381" t="s">
        <v>24</v>
      </c>
      <c r="H381" t="s">
        <v>19</v>
      </c>
      <c r="I381" t="s">
        <v>16</v>
      </c>
      <c r="J381" t="str">
        <f>TEXT(Data[[#This Row],[Date]],"mmm")</f>
        <v>Aug</v>
      </c>
      <c r="K381">
        <f>MONTH(Data[[#This Row],[Date]])</f>
        <v>8</v>
      </c>
      <c r="L381">
        <f>IF(Data[[#This Row],[Category Type]]="Income",Data[[#This Row],[Amount]],0)</f>
        <v>0</v>
      </c>
      <c r="M381">
        <f>IF(Data[[#This Row],[Category Type]]="Expense",-Data[[#This Row],[Amount]],0)</f>
        <v>117</v>
      </c>
    </row>
    <row r="382" spans="1:13" x14ac:dyDescent="0.25">
      <c r="A382" t="s">
        <v>4</v>
      </c>
      <c r="B382" s="1">
        <v>44437</v>
      </c>
      <c r="C382" t="s">
        <v>52</v>
      </c>
      <c r="D382">
        <v>131.9</v>
      </c>
      <c r="E382">
        <v>0</v>
      </c>
      <c r="F382">
        <v>-131.9</v>
      </c>
      <c r="G382" t="s">
        <v>32</v>
      </c>
      <c r="H382" t="s">
        <v>30</v>
      </c>
      <c r="I382" t="s">
        <v>16</v>
      </c>
      <c r="J382" t="str">
        <f>TEXT(Data[[#This Row],[Date]],"mmm")</f>
        <v>Aug</v>
      </c>
      <c r="K382">
        <f>MONTH(Data[[#This Row],[Date]])</f>
        <v>8</v>
      </c>
      <c r="L382">
        <f>IF(Data[[#This Row],[Category Type]]="Income",Data[[#This Row],[Amount]],0)</f>
        <v>0</v>
      </c>
      <c r="M382">
        <f>IF(Data[[#This Row],[Category Type]]="Expense",-Data[[#This Row],[Amount]],0)</f>
        <v>131.9</v>
      </c>
    </row>
    <row r="383" spans="1:13" x14ac:dyDescent="0.25">
      <c r="A383" t="s">
        <v>4</v>
      </c>
      <c r="B383" s="1">
        <v>44437</v>
      </c>
      <c r="C383" t="s">
        <v>53</v>
      </c>
      <c r="D383">
        <v>182.39999999999998</v>
      </c>
      <c r="E383">
        <v>0</v>
      </c>
      <c r="F383">
        <v>-182.39999999999998</v>
      </c>
      <c r="G383" t="s">
        <v>21</v>
      </c>
      <c r="H383" t="s">
        <v>30</v>
      </c>
      <c r="I383" t="s">
        <v>16</v>
      </c>
      <c r="J383" t="str">
        <f>TEXT(Data[[#This Row],[Date]],"mmm")</f>
        <v>Aug</v>
      </c>
      <c r="K383">
        <f>MONTH(Data[[#This Row],[Date]])</f>
        <v>8</v>
      </c>
      <c r="L383">
        <f>IF(Data[[#This Row],[Category Type]]="Income",Data[[#This Row],[Amount]],0)</f>
        <v>0</v>
      </c>
      <c r="M383">
        <f>IF(Data[[#This Row],[Category Type]]="Expense",-Data[[#This Row],[Amount]],0)</f>
        <v>182.39999999999998</v>
      </c>
    </row>
    <row r="384" spans="1:13" x14ac:dyDescent="0.25">
      <c r="A384" t="s">
        <v>4</v>
      </c>
      <c r="B384" s="1">
        <v>44438</v>
      </c>
      <c r="C384" t="s">
        <v>31</v>
      </c>
      <c r="D384">
        <v>152.29999999999998</v>
      </c>
      <c r="E384">
        <v>0</v>
      </c>
      <c r="F384">
        <v>-152.29999999999998</v>
      </c>
      <c r="G384" t="s">
        <v>32</v>
      </c>
      <c r="H384" t="s">
        <v>30</v>
      </c>
      <c r="I384" t="s">
        <v>16</v>
      </c>
      <c r="J384" t="str">
        <f>TEXT(Data[[#This Row],[Date]],"mmm")</f>
        <v>Aug</v>
      </c>
      <c r="K384">
        <f>MONTH(Data[[#This Row],[Date]])</f>
        <v>8</v>
      </c>
      <c r="L384">
        <f>IF(Data[[#This Row],[Category Type]]="Income",Data[[#This Row],[Amount]],0)</f>
        <v>0</v>
      </c>
      <c r="M384">
        <f>IF(Data[[#This Row],[Category Type]]="Expense",-Data[[#This Row],[Amount]],0)</f>
        <v>152.29999999999998</v>
      </c>
    </row>
    <row r="385" spans="1:13" x14ac:dyDescent="0.25">
      <c r="A385" t="s">
        <v>4</v>
      </c>
      <c r="B385" s="1">
        <v>44438</v>
      </c>
      <c r="C385" t="s">
        <v>35</v>
      </c>
      <c r="D385">
        <v>30.300000000000004</v>
      </c>
      <c r="E385">
        <v>0</v>
      </c>
      <c r="F385">
        <v>-30.300000000000004</v>
      </c>
      <c r="G385" t="s">
        <v>36</v>
      </c>
      <c r="H385" t="s">
        <v>22</v>
      </c>
      <c r="I385" t="s">
        <v>16</v>
      </c>
      <c r="J385" t="str">
        <f>TEXT(Data[[#This Row],[Date]],"mmm")</f>
        <v>Aug</v>
      </c>
      <c r="K385">
        <f>MONTH(Data[[#This Row],[Date]])</f>
        <v>8</v>
      </c>
      <c r="L385">
        <f>IF(Data[[#This Row],[Category Type]]="Income",Data[[#This Row],[Amount]],0)</f>
        <v>0</v>
      </c>
      <c r="M385">
        <f>IF(Data[[#This Row],[Category Type]]="Expense",-Data[[#This Row],[Amount]],0)</f>
        <v>30.300000000000004</v>
      </c>
    </row>
    <row r="386" spans="1:13" x14ac:dyDescent="0.25">
      <c r="A386" t="s">
        <v>4</v>
      </c>
      <c r="B386" s="1">
        <v>44438</v>
      </c>
      <c r="C386" t="s">
        <v>57</v>
      </c>
      <c r="D386">
        <v>15</v>
      </c>
      <c r="E386">
        <v>0</v>
      </c>
      <c r="F386">
        <v>-15</v>
      </c>
      <c r="G386" t="s">
        <v>34</v>
      </c>
      <c r="H386" t="s">
        <v>15</v>
      </c>
      <c r="I386" t="s">
        <v>16</v>
      </c>
      <c r="J386" t="str">
        <f>TEXT(Data[[#This Row],[Date]],"mmm")</f>
        <v>Aug</v>
      </c>
      <c r="K386">
        <f>MONTH(Data[[#This Row],[Date]])</f>
        <v>8</v>
      </c>
      <c r="L386">
        <f>IF(Data[[#This Row],[Category Type]]="Income",Data[[#This Row],[Amount]],0)</f>
        <v>0</v>
      </c>
      <c r="M386">
        <f>IF(Data[[#This Row],[Category Type]]="Expense",-Data[[#This Row],[Amount]],0)</f>
        <v>15</v>
      </c>
    </row>
    <row r="387" spans="1:13" x14ac:dyDescent="0.25">
      <c r="A387" t="s">
        <v>4</v>
      </c>
      <c r="B387" s="1">
        <v>44439</v>
      </c>
      <c r="C387" t="s">
        <v>13</v>
      </c>
      <c r="D387">
        <v>5</v>
      </c>
      <c r="E387">
        <v>0</v>
      </c>
      <c r="F387">
        <v>-5</v>
      </c>
      <c r="G387" t="s">
        <v>14</v>
      </c>
      <c r="H387" t="s">
        <v>15</v>
      </c>
      <c r="I387" t="s">
        <v>16</v>
      </c>
      <c r="J387" t="str">
        <f>TEXT(Data[[#This Row],[Date]],"mmm")</f>
        <v>Aug</v>
      </c>
      <c r="K387">
        <f>MONTH(Data[[#This Row],[Date]])</f>
        <v>8</v>
      </c>
      <c r="L387">
        <f>IF(Data[[#This Row],[Category Type]]="Income",Data[[#This Row],[Amount]],0)</f>
        <v>0</v>
      </c>
      <c r="M387">
        <f>IF(Data[[#This Row],[Category Type]]="Expense",-Data[[#This Row],[Amount]],0)</f>
        <v>5</v>
      </c>
    </row>
    <row r="388" spans="1:13" x14ac:dyDescent="0.25">
      <c r="A388" t="s">
        <v>4</v>
      </c>
      <c r="B388" s="1">
        <v>44441</v>
      </c>
      <c r="C388" t="s">
        <v>13</v>
      </c>
      <c r="D388">
        <v>5</v>
      </c>
      <c r="E388">
        <v>0</v>
      </c>
      <c r="F388">
        <v>-5</v>
      </c>
      <c r="G388" t="s">
        <v>14</v>
      </c>
      <c r="H388" t="s">
        <v>15</v>
      </c>
      <c r="I388" t="s">
        <v>16</v>
      </c>
      <c r="J388" t="str">
        <f>TEXT(Data[[#This Row],[Date]],"mmm")</f>
        <v>Sep</v>
      </c>
      <c r="K388">
        <f>MONTH(Data[[#This Row],[Date]])</f>
        <v>9</v>
      </c>
      <c r="L388">
        <f>IF(Data[[#This Row],[Category Type]]="Income",Data[[#This Row],[Amount]],0)</f>
        <v>0</v>
      </c>
      <c r="M388">
        <f>IF(Data[[#This Row],[Category Type]]="Expense",-Data[[#This Row],[Amount]],0)</f>
        <v>5</v>
      </c>
    </row>
    <row r="389" spans="1:13" x14ac:dyDescent="0.25">
      <c r="A389" t="s">
        <v>9</v>
      </c>
      <c r="B389" s="1">
        <v>44441</v>
      </c>
      <c r="C389" t="s">
        <v>10</v>
      </c>
      <c r="D389">
        <v>0</v>
      </c>
      <c r="E389">
        <v>4000</v>
      </c>
      <c r="F389">
        <v>4000</v>
      </c>
      <c r="G389" t="s">
        <v>11</v>
      </c>
      <c r="H389" t="s">
        <v>11</v>
      </c>
      <c r="I389" t="s">
        <v>12</v>
      </c>
      <c r="J389" t="str">
        <f>TEXT(Data[[#This Row],[Date]],"mmm")</f>
        <v>Sep</v>
      </c>
      <c r="K389">
        <f>MONTH(Data[[#This Row],[Date]])</f>
        <v>9</v>
      </c>
      <c r="L389">
        <f>IF(Data[[#This Row],[Category Type]]="Income",Data[[#This Row],[Amount]],0)</f>
        <v>4000</v>
      </c>
      <c r="M389">
        <f>IF(Data[[#This Row],[Category Type]]="Expense",-Data[[#This Row],[Amount]],0)</f>
        <v>0</v>
      </c>
    </row>
    <row r="390" spans="1:13" x14ac:dyDescent="0.25">
      <c r="A390" t="s">
        <v>4</v>
      </c>
      <c r="B390" s="1">
        <v>44442</v>
      </c>
      <c r="C390" t="s">
        <v>13</v>
      </c>
      <c r="D390">
        <v>5</v>
      </c>
      <c r="E390">
        <v>0</v>
      </c>
      <c r="F390">
        <v>-5</v>
      </c>
      <c r="G390" t="s">
        <v>14</v>
      </c>
      <c r="H390" t="s">
        <v>15</v>
      </c>
      <c r="I390" t="s">
        <v>16</v>
      </c>
      <c r="J390" t="str">
        <f>TEXT(Data[[#This Row],[Date]],"mmm")</f>
        <v>Sep</v>
      </c>
      <c r="K390">
        <f>MONTH(Data[[#This Row],[Date]])</f>
        <v>9</v>
      </c>
      <c r="L390">
        <f>IF(Data[[#This Row],[Category Type]]="Income",Data[[#This Row],[Amount]],0)</f>
        <v>0</v>
      </c>
      <c r="M390">
        <f>IF(Data[[#This Row],[Category Type]]="Expense",-Data[[#This Row],[Amount]],0)</f>
        <v>5</v>
      </c>
    </row>
    <row r="391" spans="1:13" x14ac:dyDescent="0.25">
      <c r="A391" t="s">
        <v>9</v>
      </c>
      <c r="B391" s="1">
        <v>44444</v>
      </c>
      <c r="C391" t="s">
        <v>17</v>
      </c>
      <c r="D391">
        <v>900</v>
      </c>
      <c r="E391">
        <v>0</v>
      </c>
      <c r="F391">
        <v>-900</v>
      </c>
      <c r="G391" t="s">
        <v>18</v>
      </c>
      <c r="H391" t="s">
        <v>19</v>
      </c>
      <c r="I391" t="s">
        <v>16</v>
      </c>
      <c r="J391" t="str">
        <f>TEXT(Data[[#This Row],[Date]],"mmm")</f>
        <v>Sep</v>
      </c>
      <c r="K391">
        <f>MONTH(Data[[#This Row],[Date]])</f>
        <v>9</v>
      </c>
      <c r="L391">
        <f>IF(Data[[#This Row],[Category Type]]="Income",Data[[#This Row],[Amount]],0)</f>
        <v>0</v>
      </c>
      <c r="M391">
        <f>IF(Data[[#This Row],[Category Type]]="Expense",-Data[[#This Row],[Amount]],0)</f>
        <v>900</v>
      </c>
    </row>
    <row r="392" spans="1:13" x14ac:dyDescent="0.25">
      <c r="A392" t="s">
        <v>9</v>
      </c>
      <c r="B392" s="1">
        <v>44444</v>
      </c>
      <c r="C392" t="s">
        <v>20</v>
      </c>
      <c r="D392">
        <v>150</v>
      </c>
      <c r="E392">
        <v>0</v>
      </c>
      <c r="F392">
        <v>-150</v>
      </c>
      <c r="G392" t="s">
        <v>21</v>
      </c>
      <c r="H392" t="s">
        <v>22</v>
      </c>
      <c r="I392" t="s">
        <v>16</v>
      </c>
      <c r="J392" t="str">
        <f>TEXT(Data[[#This Row],[Date]],"mmm")</f>
        <v>Sep</v>
      </c>
      <c r="K392">
        <f>MONTH(Data[[#This Row],[Date]])</f>
        <v>9</v>
      </c>
      <c r="L392">
        <f>IF(Data[[#This Row],[Category Type]]="Income",Data[[#This Row],[Amount]],0)</f>
        <v>0</v>
      </c>
      <c r="M392">
        <f>IF(Data[[#This Row],[Category Type]]="Expense",-Data[[#This Row],[Amount]],0)</f>
        <v>150</v>
      </c>
    </row>
    <row r="393" spans="1:13" x14ac:dyDescent="0.25">
      <c r="A393" t="s">
        <v>4</v>
      </c>
      <c r="B393" s="1">
        <v>44444</v>
      </c>
      <c r="C393" t="s">
        <v>13</v>
      </c>
      <c r="D393">
        <v>5</v>
      </c>
      <c r="E393">
        <v>0</v>
      </c>
      <c r="F393">
        <v>-5</v>
      </c>
      <c r="G393" t="s">
        <v>14</v>
      </c>
      <c r="H393" t="s">
        <v>15</v>
      </c>
      <c r="I393" t="s">
        <v>16</v>
      </c>
      <c r="J393" t="str">
        <f>TEXT(Data[[#This Row],[Date]],"mmm")</f>
        <v>Sep</v>
      </c>
      <c r="K393">
        <f>MONTH(Data[[#This Row],[Date]])</f>
        <v>9</v>
      </c>
      <c r="L393">
        <f>IF(Data[[#This Row],[Category Type]]="Income",Data[[#This Row],[Amount]],0)</f>
        <v>0</v>
      </c>
      <c r="M393">
        <f>IF(Data[[#This Row],[Category Type]]="Expense",-Data[[#This Row],[Amount]],0)</f>
        <v>5</v>
      </c>
    </row>
    <row r="394" spans="1:13" x14ac:dyDescent="0.25">
      <c r="A394" t="s">
        <v>4</v>
      </c>
      <c r="B394" s="1">
        <v>44445</v>
      </c>
      <c r="C394" t="s">
        <v>13</v>
      </c>
      <c r="D394">
        <v>5</v>
      </c>
      <c r="E394">
        <v>0</v>
      </c>
      <c r="F394">
        <v>-5</v>
      </c>
      <c r="G394" t="s">
        <v>14</v>
      </c>
      <c r="H394" t="s">
        <v>15</v>
      </c>
      <c r="I394" t="s">
        <v>16</v>
      </c>
      <c r="J394" t="str">
        <f>TEXT(Data[[#This Row],[Date]],"mmm")</f>
        <v>Sep</v>
      </c>
      <c r="K394">
        <f>MONTH(Data[[#This Row],[Date]])</f>
        <v>9</v>
      </c>
      <c r="L394">
        <f>IF(Data[[#This Row],[Category Type]]="Income",Data[[#This Row],[Amount]],0)</f>
        <v>0</v>
      </c>
      <c r="M394">
        <f>IF(Data[[#This Row],[Category Type]]="Expense",-Data[[#This Row],[Amount]],0)</f>
        <v>5</v>
      </c>
    </row>
    <row r="395" spans="1:13" x14ac:dyDescent="0.25">
      <c r="A395" t="s">
        <v>4</v>
      </c>
      <c r="B395" s="1">
        <v>44446</v>
      </c>
      <c r="C395" t="s">
        <v>13</v>
      </c>
      <c r="D395">
        <v>5</v>
      </c>
      <c r="E395">
        <v>0</v>
      </c>
      <c r="F395">
        <v>-5</v>
      </c>
      <c r="G395" t="s">
        <v>14</v>
      </c>
      <c r="H395" t="s">
        <v>15</v>
      </c>
      <c r="I395" t="s">
        <v>16</v>
      </c>
      <c r="J395" t="str">
        <f>TEXT(Data[[#This Row],[Date]],"mmm")</f>
        <v>Sep</v>
      </c>
      <c r="K395">
        <f>MONTH(Data[[#This Row],[Date]])</f>
        <v>9</v>
      </c>
      <c r="L395">
        <f>IF(Data[[#This Row],[Category Type]]="Income",Data[[#This Row],[Amount]],0)</f>
        <v>0</v>
      </c>
      <c r="M395">
        <f>IF(Data[[#This Row],[Category Type]]="Expense",-Data[[#This Row],[Amount]],0)</f>
        <v>5</v>
      </c>
    </row>
    <row r="396" spans="1:13" x14ac:dyDescent="0.25">
      <c r="A396" t="s">
        <v>4</v>
      </c>
      <c r="B396" s="1">
        <v>44446</v>
      </c>
      <c r="C396" t="s">
        <v>23</v>
      </c>
      <c r="D396">
        <v>163.39999999999998</v>
      </c>
      <c r="E396">
        <v>0</v>
      </c>
      <c r="F396">
        <v>-163.39999999999998</v>
      </c>
      <c r="G396" t="s">
        <v>24</v>
      </c>
      <c r="H396" t="s">
        <v>19</v>
      </c>
      <c r="I396" t="s">
        <v>16</v>
      </c>
      <c r="J396" t="str">
        <f>TEXT(Data[[#This Row],[Date]],"mmm")</f>
        <v>Sep</v>
      </c>
      <c r="K396">
        <f>MONTH(Data[[#This Row],[Date]])</f>
        <v>9</v>
      </c>
      <c r="L396">
        <f>IF(Data[[#This Row],[Category Type]]="Income",Data[[#This Row],[Amount]],0)</f>
        <v>0</v>
      </c>
      <c r="M396">
        <f>IF(Data[[#This Row],[Category Type]]="Expense",-Data[[#This Row],[Amount]],0)</f>
        <v>163.39999999999998</v>
      </c>
    </row>
    <row r="397" spans="1:13" x14ac:dyDescent="0.25">
      <c r="A397" t="s">
        <v>9</v>
      </c>
      <c r="B397" s="1">
        <v>44449</v>
      </c>
      <c r="C397" t="s">
        <v>25</v>
      </c>
      <c r="D397">
        <v>58.1</v>
      </c>
      <c r="E397">
        <v>0</v>
      </c>
      <c r="F397">
        <v>-58.1</v>
      </c>
      <c r="G397" t="s">
        <v>26</v>
      </c>
      <c r="H397" t="s">
        <v>19</v>
      </c>
      <c r="I397" t="s">
        <v>16</v>
      </c>
      <c r="J397" t="str">
        <f>TEXT(Data[[#This Row],[Date]],"mmm")</f>
        <v>Sep</v>
      </c>
      <c r="K397">
        <f>MONTH(Data[[#This Row],[Date]])</f>
        <v>9</v>
      </c>
      <c r="L397">
        <f>IF(Data[[#This Row],[Category Type]]="Income",Data[[#This Row],[Amount]],0)</f>
        <v>0</v>
      </c>
      <c r="M397">
        <f>IF(Data[[#This Row],[Category Type]]="Expense",-Data[[#This Row],[Amount]],0)</f>
        <v>58.1</v>
      </c>
    </row>
    <row r="398" spans="1:13" x14ac:dyDescent="0.25">
      <c r="A398" t="s">
        <v>4</v>
      </c>
      <c r="B398" s="1">
        <v>44449</v>
      </c>
      <c r="C398" t="s">
        <v>13</v>
      </c>
      <c r="D398">
        <v>5</v>
      </c>
      <c r="E398">
        <v>0</v>
      </c>
      <c r="F398">
        <v>-5</v>
      </c>
      <c r="G398" t="s">
        <v>14</v>
      </c>
      <c r="H398" t="s">
        <v>15</v>
      </c>
      <c r="I398" t="s">
        <v>16</v>
      </c>
      <c r="J398" t="str">
        <f>TEXT(Data[[#This Row],[Date]],"mmm")</f>
        <v>Sep</v>
      </c>
      <c r="K398">
        <f>MONTH(Data[[#This Row],[Date]])</f>
        <v>9</v>
      </c>
      <c r="L398">
        <f>IF(Data[[#This Row],[Category Type]]="Income",Data[[#This Row],[Amount]],0)</f>
        <v>0</v>
      </c>
      <c r="M398">
        <f>IF(Data[[#This Row],[Category Type]]="Expense",-Data[[#This Row],[Amount]],0)</f>
        <v>5</v>
      </c>
    </row>
    <row r="399" spans="1:13" x14ac:dyDescent="0.25">
      <c r="A399" t="s">
        <v>4</v>
      </c>
      <c r="B399" s="1">
        <v>44450</v>
      </c>
      <c r="C399" t="s">
        <v>13</v>
      </c>
      <c r="D399">
        <v>5</v>
      </c>
      <c r="E399">
        <v>0</v>
      </c>
      <c r="F399">
        <v>-5</v>
      </c>
      <c r="G399" t="s">
        <v>14</v>
      </c>
      <c r="H399" t="s">
        <v>15</v>
      </c>
      <c r="I399" t="s">
        <v>16</v>
      </c>
      <c r="J399" t="str">
        <f>TEXT(Data[[#This Row],[Date]],"mmm")</f>
        <v>Sep</v>
      </c>
      <c r="K399">
        <f>MONTH(Data[[#This Row],[Date]])</f>
        <v>9</v>
      </c>
      <c r="L399">
        <f>IF(Data[[#This Row],[Category Type]]="Income",Data[[#This Row],[Amount]],0)</f>
        <v>0</v>
      </c>
      <c r="M399">
        <f>IF(Data[[#This Row],[Category Type]]="Expense",-Data[[#This Row],[Amount]],0)</f>
        <v>5</v>
      </c>
    </row>
    <row r="400" spans="1:13" x14ac:dyDescent="0.25">
      <c r="A400" t="s">
        <v>4</v>
      </c>
      <c r="B400" s="1">
        <v>44451</v>
      </c>
      <c r="C400" t="s">
        <v>27</v>
      </c>
      <c r="D400">
        <v>85.299999999999983</v>
      </c>
      <c r="E400">
        <v>0</v>
      </c>
      <c r="F400">
        <v>-85.299999999999983</v>
      </c>
      <c r="G400" t="s">
        <v>28</v>
      </c>
      <c r="H400" t="s">
        <v>22</v>
      </c>
      <c r="I400" t="s">
        <v>16</v>
      </c>
      <c r="J400" t="str">
        <f>TEXT(Data[[#This Row],[Date]],"mmm")</f>
        <v>Sep</v>
      </c>
      <c r="K400">
        <f>MONTH(Data[[#This Row],[Date]])</f>
        <v>9</v>
      </c>
      <c r="L400">
        <f>IF(Data[[#This Row],[Category Type]]="Income",Data[[#This Row],[Amount]],0)</f>
        <v>0</v>
      </c>
      <c r="M400">
        <f>IF(Data[[#This Row],[Category Type]]="Expense",-Data[[#This Row],[Amount]],0)</f>
        <v>85.299999999999983</v>
      </c>
    </row>
    <row r="401" spans="1:13" x14ac:dyDescent="0.25">
      <c r="A401" t="s">
        <v>4</v>
      </c>
      <c r="B401" s="1">
        <v>44451</v>
      </c>
      <c r="C401" t="s">
        <v>13</v>
      </c>
      <c r="D401">
        <v>5</v>
      </c>
      <c r="E401">
        <v>0</v>
      </c>
      <c r="F401">
        <v>-5</v>
      </c>
      <c r="G401" t="s">
        <v>14</v>
      </c>
      <c r="H401" t="s">
        <v>15</v>
      </c>
      <c r="I401" t="s">
        <v>16</v>
      </c>
      <c r="J401" t="str">
        <f>TEXT(Data[[#This Row],[Date]],"mmm")</f>
        <v>Sep</v>
      </c>
      <c r="K401">
        <f>MONTH(Data[[#This Row],[Date]])</f>
        <v>9</v>
      </c>
      <c r="L401">
        <f>IF(Data[[#This Row],[Category Type]]="Income",Data[[#This Row],[Amount]],0)</f>
        <v>0</v>
      </c>
      <c r="M401">
        <f>IF(Data[[#This Row],[Category Type]]="Expense",-Data[[#This Row],[Amount]],0)</f>
        <v>5</v>
      </c>
    </row>
    <row r="402" spans="1:13" x14ac:dyDescent="0.25">
      <c r="A402" t="s">
        <v>4</v>
      </c>
      <c r="B402" s="1">
        <v>44452</v>
      </c>
      <c r="C402" t="s">
        <v>13</v>
      </c>
      <c r="D402">
        <v>5</v>
      </c>
      <c r="E402">
        <v>0</v>
      </c>
      <c r="F402">
        <v>-5</v>
      </c>
      <c r="G402" t="s">
        <v>14</v>
      </c>
      <c r="H402" t="s">
        <v>15</v>
      </c>
      <c r="I402" t="s">
        <v>16</v>
      </c>
      <c r="J402" t="str">
        <f>TEXT(Data[[#This Row],[Date]],"mmm")</f>
        <v>Sep</v>
      </c>
      <c r="K402">
        <f>MONTH(Data[[#This Row],[Date]])</f>
        <v>9</v>
      </c>
      <c r="L402">
        <f>IF(Data[[#This Row],[Category Type]]="Income",Data[[#This Row],[Amount]],0)</f>
        <v>0</v>
      </c>
      <c r="M402">
        <f>IF(Data[[#This Row],[Category Type]]="Expense",-Data[[#This Row],[Amount]],0)</f>
        <v>5</v>
      </c>
    </row>
    <row r="403" spans="1:13" x14ac:dyDescent="0.25">
      <c r="A403" t="s">
        <v>4</v>
      </c>
      <c r="B403" s="1">
        <v>44453</v>
      </c>
      <c r="C403" t="s">
        <v>23</v>
      </c>
      <c r="D403">
        <v>143</v>
      </c>
      <c r="E403">
        <v>0</v>
      </c>
      <c r="F403">
        <v>-143</v>
      </c>
      <c r="G403" t="s">
        <v>24</v>
      </c>
      <c r="H403" t="s">
        <v>19</v>
      </c>
      <c r="I403" t="s">
        <v>16</v>
      </c>
      <c r="J403" t="str">
        <f>TEXT(Data[[#This Row],[Date]],"mmm")</f>
        <v>Sep</v>
      </c>
      <c r="K403">
        <f>MONTH(Data[[#This Row],[Date]])</f>
        <v>9</v>
      </c>
      <c r="L403">
        <f>IF(Data[[#This Row],[Category Type]]="Income",Data[[#This Row],[Amount]],0)</f>
        <v>0</v>
      </c>
      <c r="M403">
        <f>IF(Data[[#This Row],[Category Type]]="Expense",-Data[[#This Row],[Amount]],0)</f>
        <v>143</v>
      </c>
    </row>
    <row r="404" spans="1:13" x14ac:dyDescent="0.25">
      <c r="A404" t="s">
        <v>4</v>
      </c>
      <c r="B404" s="1">
        <v>44453</v>
      </c>
      <c r="C404" t="s">
        <v>13</v>
      </c>
      <c r="D404">
        <v>5</v>
      </c>
      <c r="E404">
        <v>0</v>
      </c>
      <c r="F404">
        <v>-5</v>
      </c>
      <c r="G404" t="s">
        <v>14</v>
      </c>
      <c r="H404" t="s">
        <v>15</v>
      </c>
      <c r="I404" t="s">
        <v>16</v>
      </c>
      <c r="J404" t="str">
        <f>TEXT(Data[[#This Row],[Date]],"mmm")</f>
        <v>Sep</v>
      </c>
      <c r="K404">
        <f>MONTH(Data[[#This Row],[Date]])</f>
        <v>9</v>
      </c>
      <c r="L404">
        <f>IF(Data[[#This Row],[Category Type]]="Income",Data[[#This Row],[Amount]],0)</f>
        <v>0</v>
      </c>
      <c r="M404">
        <f>IF(Data[[#This Row],[Category Type]]="Expense",-Data[[#This Row],[Amount]],0)</f>
        <v>5</v>
      </c>
    </row>
    <row r="405" spans="1:13" x14ac:dyDescent="0.25">
      <c r="A405" t="s">
        <v>4</v>
      </c>
      <c r="B405" s="1">
        <v>44454</v>
      </c>
      <c r="C405" t="s">
        <v>13</v>
      </c>
      <c r="D405">
        <v>5</v>
      </c>
      <c r="E405">
        <v>0</v>
      </c>
      <c r="F405">
        <v>-5</v>
      </c>
      <c r="G405" t="s">
        <v>14</v>
      </c>
      <c r="H405" t="s">
        <v>15</v>
      </c>
      <c r="I405" t="s">
        <v>16</v>
      </c>
      <c r="J405" t="str">
        <f>TEXT(Data[[#This Row],[Date]],"mmm")</f>
        <v>Sep</v>
      </c>
      <c r="K405">
        <f>MONTH(Data[[#This Row],[Date]])</f>
        <v>9</v>
      </c>
      <c r="L405">
        <f>IF(Data[[#This Row],[Category Type]]="Income",Data[[#This Row],[Amount]],0)</f>
        <v>0</v>
      </c>
      <c r="M405">
        <f>IF(Data[[#This Row],[Category Type]]="Expense",-Data[[#This Row],[Amount]],0)</f>
        <v>5</v>
      </c>
    </row>
    <row r="406" spans="1:13" x14ac:dyDescent="0.25">
      <c r="A406" t="s">
        <v>4</v>
      </c>
      <c r="B406" s="1">
        <v>44454</v>
      </c>
      <c r="C406" t="s">
        <v>29</v>
      </c>
      <c r="D406">
        <v>47.8</v>
      </c>
      <c r="E406">
        <v>0</v>
      </c>
      <c r="F406">
        <v>-47.8</v>
      </c>
      <c r="G406" t="s">
        <v>21</v>
      </c>
      <c r="H406" t="s">
        <v>30</v>
      </c>
      <c r="I406" t="s">
        <v>16</v>
      </c>
      <c r="J406" t="str">
        <f>TEXT(Data[[#This Row],[Date]],"mmm")</f>
        <v>Sep</v>
      </c>
      <c r="K406">
        <f>MONTH(Data[[#This Row],[Date]])</f>
        <v>9</v>
      </c>
      <c r="L406">
        <f>IF(Data[[#This Row],[Category Type]]="Income",Data[[#This Row],[Amount]],0)</f>
        <v>0</v>
      </c>
      <c r="M406">
        <f>IF(Data[[#This Row],[Category Type]]="Expense",-Data[[#This Row],[Amount]],0)</f>
        <v>47.8</v>
      </c>
    </row>
    <row r="407" spans="1:13" x14ac:dyDescent="0.25">
      <c r="A407" t="s">
        <v>4</v>
      </c>
      <c r="B407" s="1">
        <v>44454</v>
      </c>
      <c r="C407" t="s">
        <v>31</v>
      </c>
      <c r="D407">
        <v>105.80000000000001</v>
      </c>
      <c r="E407">
        <v>0</v>
      </c>
      <c r="F407">
        <v>-105.80000000000001</v>
      </c>
      <c r="G407" t="s">
        <v>32</v>
      </c>
      <c r="H407" t="s">
        <v>30</v>
      </c>
      <c r="I407" t="s">
        <v>16</v>
      </c>
      <c r="J407" t="str">
        <f>TEXT(Data[[#This Row],[Date]],"mmm")</f>
        <v>Sep</v>
      </c>
      <c r="K407">
        <f>MONTH(Data[[#This Row],[Date]])</f>
        <v>9</v>
      </c>
      <c r="L407">
        <f>IF(Data[[#This Row],[Category Type]]="Income",Data[[#This Row],[Amount]],0)</f>
        <v>0</v>
      </c>
      <c r="M407">
        <f>IF(Data[[#This Row],[Category Type]]="Expense",-Data[[#This Row],[Amount]],0)</f>
        <v>105.80000000000001</v>
      </c>
    </row>
    <row r="408" spans="1:13" x14ac:dyDescent="0.25">
      <c r="A408" t="s">
        <v>4</v>
      </c>
      <c r="B408" s="1">
        <v>44454</v>
      </c>
      <c r="C408" t="s">
        <v>33</v>
      </c>
      <c r="D408">
        <v>60.1</v>
      </c>
      <c r="E408">
        <v>0</v>
      </c>
      <c r="F408">
        <v>-60.1</v>
      </c>
      <c r="G408" t="s">
        <v>34</v>
      </c>
      <c r="H408" t="s">
        <v>15</v>
      </c>
      <c r="I408" t="s">
        <v>16</v>
      </c>
      <c r="J408" t="str">
        <f>TEXT(Data[[#This Row],[Date]],"mmm")</f>
        <v>Sep</v>
      </c>
      <c r="K408">
        <f>MONTH(Data[[#This Row],[Date]])</f>
        <v>9</v>
      </c>
      <c r="L408">
        <f>IF(Data[[#This Row],[Category Type]]="Income",Data[[#This Row],[Amount]],0)</f>
        <v>0</v>
      </c>
      <c r="M408">
        <f>IF(Data[[#This Row],[Category Type]]="Expense",-Data[[#This Row],[Amount]],0)</f>
        <v>60.1</v>
      </c>
    </row>
    <row r="409" spans="1:13" x14ac:dyDescent="0.25">
      <c r="A409" t="s">
        <v>4</v>
      </c>
      <c r="B409" s="1">
        <v>44455</v>
      </c>
      <c r="C409" t="s">
        <v>35</v>
      </c>
      <c r="D409">
        <v>36.200000000000003</v>
      </c>
      <c r="E409">
        <v>0</v>
      </c>
      <c r="F409">
        <v>-36.200000000000003</v>
      </c>
      <c r="G409" t="s">
        <v>36</v>
      </c>
      <c r="H409" t="s">
        <v>22</v>
      </c>
      <c r="I409" t="s">
        <v>16</v>
      </c>
      <c r="J409" t="str">
        <f>TEXT(Data[[#This Row],[Date]],"mmm")</f>
        <v>Sep</v>
      </c>
      <c r="K409">
        <f>MONTH(Data[[#This Row],[Date]])</f>
        <v>9</v>
      </c>
      <c r="L409">
        <f>IF(Data[[#This Row],[Category Type]]="Income",Data[[#This Row],[Amount]],0)</f>
        <v>0</v>
      </c>
      <c r="M409">
        <f>IF(Data[[#This Row],[Category Type]]="Expense",-Data[[#This Row],[Amount]],0)</f>
        <v>36.200000000000003</v>
      </c>
    </row>
    <row r="410" spans="1:13" x14ac:dyDescent="0.25">
      <c r="A410" t="s">
        <v>9</v>
      </c>
      <c r="B410" s="1">
        <v>44456</v>
      </c>
      <c r="C410" t="s">
        <v>37</v>
      </c>
      <c r="D410">
        <v>30</v>
      </c>
      <c r="E410">
        <v>0</v>
      </c>
      <c r="F410">
        <v>-30</v>
      </c>
      <c r="G410" t="s">
        <v>38</v>
      </c>
      <c r="H410" t="s">
        <v>30</v>
      </c>
      <c r="I410" t="s">
        <v>16</v>
      </c>
      <c r="J410" t="str">
        <f>TEXT(Data[[#This Row],[Date]],"mmm")</f>
        <v>Sep</v>
      </c>
      <c r="K410">
        <f>MONTH(Data[[#This Row],[Date]])</f>
        <v>9</v>
      </c>
      <c r="L410">
        <f>IF(Data[[#This Row],[Category Type]]="Income",Data[[#This Row],[Amount]],0)</f>
        <v>0</v>
      </c>
      <c r="M410">
        <f>IF(Data[[#This Row],[Category Type]]="Expense",-Data[[#This Row],[Amount]],0)</f>
        <v>30</v>
      </c>
    </row>
    <row r="411" spans="1:13" x14ac:dyDescent="0.25">
      <c r="A411" t="s">
        <v>4</v>
      </c>
      <c r="B411" s="1">
        <v>44456</v>
      </c>
      <c r="C411" t="s">
        <v>13</v>
      </c>
      <c r="D411">
        <v>5</v>
      </c>
      <c r="E411">
        <v>0</v>
      </c>
      <c r="F411">
        <v>-5</v>
      </c>
      <c r="G411" t="s">
        <v>14</v>
      </c>
      <c r="H411" t="s">
        <v>15</v>
      </c>
      <c r="I411" t="s">
        <v>16</v>
      </c>
      <c r="J411" t="str">
        <f>TEXT(Data[[#This Row],[Date]],"mmm")</f>
        <v>Sep</v>
      </c>
      <c r="K411">
        <f>MONTH(Data[[#This Row],[Date]])</f>
        <v>9</v>
      </c>
      <c r="L411">
        <f>IF(Data[[#This Row],[Category Type]]="Income",Data[[#This Row],[Amount]],0)</f>
        <v>0</v>
      </c>
      <c r="M411">
        <f>IF(Data[[#This Row],[Category Type]]="Expense",-Data[[#This Row],[Amount]],0)</f>
        <v>5</v>
      </c>
    </row>
    <row r="412" spans="1:13" x14ac:dyDescent="0.25">
      <c r="A412" t="s">
        <v>4</v>
      </c>
      <c r="B412" s="1">
        <v>44457</v>
      </c>
      <c r="C412" t="s">
        <v>13</v>
      </c>
      <c r="D412">
        <v>5</v>
      </c>
      <c r="E412">
        <v>0</v>
      </c>
      <c r="F412">
        <v>-5</v>
      </c>
      <c r="G412" t="s">
        <v>14</v>
      </c>
      <c r="H412" t="s">
        <v>15</v>
      </c>
      <c r="I412" t="s">
        <v>16</v>
      </c>
      <c r="J412" t="str">
        <f>TEXT(Data[[#This Row],[Date]],"mmm")</f>
        <v>Sep</v>
      </c>
      <c r="K412">
        <f>MONTH(Data[[#This Row],[Date]])</f>
        <v>9</v>
      </c>
      <c r="L412">
        <f>IF(Data[[#This Row],[Category Type]]="Income",Data[[#This Row],[Amount]],0)</f>
        <v>0</v>
      </c>
      <c r="M412">
        <f>IF(Data[[#This Row],[Category Type]]="Expense",-Data[[#This Row],[Amount]],0)</f>
        <v>5</v>
      </c>
    </row>
    <row r="413" spans="1:13" x14ac:dyDescent="0.25">
      <c r="A413" t="s">
        <v>9</v>
      </c>
      <c r="B413" s="1">
        <v>44457</v>
      </c>
      <c r="C413" t="s">
        <v>42</v>
      </c>
      <c r="D413">
        <v>40</v>
      </c>
      <c r="E413">
        <v>0</v>
      </c>
      <c r="F413">
        <v>-40</v>
      </c>
      <c r="G413" t="s">
        <v>43</v>
      </c>
      <c r="H413" t="s">
        <v>19</v>
      </c>
      <c r="I413" t="s">
        <v>16</v>
      </c>
      <c r="J413" t="str">
        <f>TEXT(Data[[#This Row],[Date]],"mmm")</f>
        <v>Sep</v>
      </c>
      <c r="K413">
        <f>MONTH(Data[[#This Row],[Date]])</f>
        <v>9</v>
      </c>
      <c r="L413">
        <f>IF(Data[[#This Row],[Category Type]]="Income",Data[[#This Row],[Amount]],0)</f>
        <v>0</v>
      </c>
      <c r="M413">
        <f>IF(Data[[#This Row],[Category Type]]="Expense",-Data[[#This Row],[Amount]],0)</f>
        <v>40</v>
      </c>
    </row>
    <row r="414" spans="1:13" x14ac:dyDescent="0.25">
      <c r="A414" t="s">
        <v>4</v>
      </c>
      <c r="B414" s="1">
        <v>44458</v>
      </c>
      <c r="C414" t="s">
        <v>44</v>
      </c>
      <c r="D414">
        <v>53</v>
      </c>
      <c r="E414">
        <v>0</v>
      </c>
      <c r="F414">
        <v>-53</v>
      </c>
      <c r="G414" t="s">
        <v>45</v>
      </c>
      <c r="H414" t="s">
        <v>30</v>
      </c>
      <c r="I414" t="s">
        <v>16</v>
      </c>
      <c r="J414" t="str">
        <f>TEXT(Data[[#This Row],[Date]],"mmm")</f>
        <v>Sep</v>
      </c>
      <c r="K414">
        <f>MONTH(Data[[#This Row],[Date]])</f>
        <v>9</v>
      </c>
      <c r="L414">
        <f>IF(Data[[#This Row],[Category Type]]="Income",Data[[#This Row],[Amount]],0)</f>
        <v>0</v>
      </c>
      <c r="M414">
        <f>IF(Data[[#This Row],[Category Type]]="Expense",-Data[[#This Row],[Amount]],0)</f>
        <v>53</v>
      </c>
    </row>
    <row r="415" spans="1:13" x14ac:dyDescent="0.25">
      <c r="A415" t="s">
        <v>4</v>
      </c>
      <c r="B415" s="1">
        <v>44458</v>
      </c>
      <c r="C415" t="s">
        <v>46</v>
      </c>
      <c r="D415">
        <v>35</v>
      </c>
      <c r="E415">
        <v>0</v>
      </c>
      <c r="F415">
        <v>-35</v>
      </c>
      <c r="G415" t="s">
        <v>21</v>
      </c>
      <c r="H415" t="s">
        <v>30</v>
      </c>
      <c r="I415" t="s">
        <v>16</v>
      </c>
      <c r="J415" t="str">
        <f>TEXT(Data[[#This Row],[Date]],"mmm")</f>
        <v>Sep</v>
      </c>
      <c r="K415">
        <f>MONTH(Data[[#This Row],[Date]])</f>
        <v>9</v>
      </c>
      <c r="L415">
        <f>IF(Data[[#This Row],[Category Type]]="Income",Data[[#This Row],[Amount]],0)</f>
        <v>0</v>
      </c>
      <c r="M415">
        <f>IF(Data[[#This Row],[Category Type]]="Expense",-Data[[#This Row],[Amount]],0)</f>
        <v>35</v>
      </c>
    </row>
    <row r="416" spans="1:13" x14ac:dyDescent="0.25">
      <c r="A416" t="s">
        <v>4</v>
      </c>
      <c r="B416" s="1">
        <v>44458</v>
      </c>
      <c r="C416" t="s">
        <v>13</v>
      </c>
      <c r="D416">
        <v>5</v>
      </c>
      <c r="E416">
        <v>0</v>
      </c>
      <c r="F416">
        <v>-5</v>
      </c>
      <c r="G416" t="s">
        <v>14</v>
      </c>
      <c r="H416" t="s">
        <v>15</v>
      </c>
      <c r="I416" t="s">
        <v>16</v>
      </c>
      <c r="J416" t="str">
        <f>TEXT(Data[[#This Row],[Date]],"mmm")</f>
        <v>Sep</v>
      </c>
      <c r="K416">
        <f>MONTH(Data[[#This Row],[Date]])</f>
        <v>9</v>
      </c>
      <c r="L416">
        <f>IF(Data[[#This Row],[Category Type]]="Income",Data[[#This Row],[Amount]],0)</f>
        <v>0</v>
      </c>
      <c r="M416">
        <f>IF(Data[[#This Row],[Category Type]]="Expense",-Data[[#This Row],[Amount]],0)</f>
        <v>5</v>
      </c>
    </row>
    <row r="417" spans="1:13" x14ac:dyDescent="0.25">
      <c r="A417" t="s">
        <v>4</v>
      </c>
      <c r="B417" s="1">
        <v>44459</v>
      </c>
      <c r="C417" t="s">
        <v>13</v>
      </c>
      <c r="D417">
        <v>5</v>
      </c>
      <c r="E417">
        <v>0</v>
      </c>
      <c r="F417">
        <v>-5</v>
      </c>
      <c r="G417" t="s">
        <v>14</v>
      </c>
      <c r="H417" t="s">
        <v>15</v>
      </c>
      <c r="I417" t="s">
        <v>16</v>
      </c>
      <c r="J417" t="str">
        <f>TEXT(Data[[#This Row],[Date]],"mmm")</f>
        <v>Sep</v>
      </c>
      <c r="K417">
        <f>MONTH(Data[[#This Row],[Date]])</f>
        <v>9</v>
      </c>
      <c r="L417">
        <f>IF(Data[[#This Row],[Category Type]]="Income",Data[[#This Row],[Amount]],0)</f>
        <v>0</v>
      </c>
      <c r="M417">
        <f>IF(Data[[#This Row],[Category Type]]="Expense",-Data[[#This Row],[Amount]],0)</f>
        <v>5</v>
      </c>
    </row>
    <row r="418" spans="1:13" x14ac:dyDescent="0.25">
      <c r="A418" t="s">
        <v>4</v>
      </c>
      <c r="B418" s="1">
        <v>44460</v>
      </c>
      <c r="C418" t="s">
        <v>13</v>
      </c>
      <c r="D418">
        <v>5</v>
      </c>
      <c r="E418">
        <v>0</v>
      </c>
      <c r="F418">
        <v>-5</v>
      </c>
      <c r="G418" t="s">
        <v>14</v>
      </c>
      <c r="H418" t="s">
        <v>15</v>
      </c>
      <c r="I418" t="s">
        <v>16</v>
      </c>
      <c r="J418" t="str">
        <f>TEXT(Data[[#This Row],[Date]],"mmm")</f>
        <v>Sep</v>
      </c>
      <c r="K418">
        <f>MONTH(Data[[#This Row],[Date]])</f>
        <v>9</v>
      </c>
      <c r="L418">
        <f>IF(Data[[#This Row],[Category Type]]="Income",Data[[#This Row],[Amount]],0)</f>
        <v>0</v>
      </c>
      <c r="M418">
        <f>IF(Data[[#This Row],[Category Type]]="Expense",-Data[[#This Row],[Amount]],0)</f>
        <v>5</v>
      </c>
    </row>
    <row r="419" spans="1:13" x14ac:dyDescent="0.25">
      <c r="A419" t="s">
        <v>4</v>
      </c>
      <c r="B419" s="1">
        <v>44460</v>
      </c>
      <c r="C419" t="s">
        <v>23</v>
      </c>
      <c r="D419">
        <v>177.9</v>
      </c>
      <c r="E419">
        <v>0</v>
      </c>
      <c r="F419">
        <v>-177.9</v>
      </c>
      <c r="G419" t="s">
        <v>24</v>
      </c>
      <c r="H419" t="s">
        <v>19</v>
      </c>
      <c r="I419" t="s">
        <v>16</v>
      </c>
      <c r="J419" t="str">
        <f>TEXT(Data[[#This Row],[Date]],"mmm")</f>
        <v>Sep</v>
      </c>
      <c r="K419">
        <f>MONTH(Data[[#This Row],[Date]])</f>
        <v>9</v>
      </c>
      <c r="L419">
        <f>IF(Data[[#This Row],[Category Type]]="Income",Data[[#This Row],[Amount]],0)</f>
        <v>0</v>
      </c>
      <c r="M419">
        <f>IF(Data[[#This Row],[Category Type]]="Expense",-Data[[#This Row],[Amount]],0)</f>
        <v>177.9</v>
      </c>
    </row>
    <row r="420" spans="1:13" x14ac:dyDescent="0.25">
      <c r="A420" t="s">
        <v>4</v>
      </c>
      <c r="B420" s="1">
        <v>44461</v>
      </c>
      <c r="C420" t="s">
        <v>47</v>
      </c>
      <c r="D420">
        <v>45.300000000000004</v>
      </c>
      <c r="E420">
        <v>0</v>
      </c>
      <c r="F420">
        <v>-45.300000000000004</v>
      </c>
      <c r="G420" t="s">
        <v>34</v>
      </c>
      <c r="H420" t="s">
        <v>15</v>
      </c>
      <c r="I420" t="s">
        <v>16</v>
      </c>
      <c r="J420" t="str">
        <f>TEXT(Data[[#This Row],[Date]],"mmm")</f>
        <v>Sep</v>
      </c>
      <c r="K420">
        <f>MONTH(Data[[#This Row],[Date]])</f>
        <v>9</v>
      </c>
      <c r="L420">
        <f>IF(Data[[#This Row],[Category Type]]="Income",Data[[#This Row],[Amount]],0)</f>
        <v>0</v>
      </c>
      <c r="M420">
        <f>IF(Data[[#This Row],[Category Type]]="Expense",-Data[[#This Row],[Amount]],0)</f>
        <v>45.300000000000004</v>
      </c>
    </row>
    <row r="421" spans="1:13" x14ac:dyDescent="0.25">
      <c r="A421" t="s">
        <v>4</v>
      </c>
      <c r="B421" s="1">
        <v>44462</v>
      </c>
      <c r="C421" t="s">
        <v>48</v>
      </c>
      <c r="D421">
        <v>20.099999999999998</v>
      </c>
      <c r="E421">
        <v>0</v>
      </c>
      <c r="F421">
        <v>-20.099999999999998</v>
      </c>
      <c r="G421" t="s">
        <v>34</v>
      </c>
      <c r="H421" t="s">
        <v>15</v>
      </c>
      <c r="I421" t="s">
        <v>16</v>
      </c>
      <c r="J421" t="str">
        <f>TEXT(Data[[#This Row],[Date]],"mmm")</f>
        <v>Sep</v>
      </c>
      <c r="K421">
        <f>MONTH(Data[[#This Row],[Date]])</f>
        <v>9</v>
      </c>
      <c r="L421">
        <f>IF(Data[[#This Row],[Category Type]]="Income",Data[[#This Row],[Amount]],0)</f>
        <v>0</v>
      </c>
      <c r="M421">
        <f>IF(Data[[#This Row],[Category Type]]="Expense",-Data[[#This Row],[Amount]],0)</f>
        <v>20.099999999999998</v>
      </c>
    </row>
    <row r="422" spans="1:13" x14ac:dyDescent="0.25">
      <c r="A422" t="s">
        <v>9</v>
      </c>
      <c r="B422" s="1">
        <v>44463</v>
      </c>
      <c r="C422" t="s">
        <v>49</v>
      </c>
      <c r="D422">
        <v>55</v>
      </c>
      <c r="E422">
        <v>0</v>
      </c>
      <c r="F422">
        <v>-55</v>
      </c>
      <c r="G422" t="s">
        <v>50</v>
      </c>
      <c r="H422" t="s">
        <v>51</v>
      </c>
      <c r="I422" t="s">
        <v>16</v>
      </c>
      <c r="J422" t="str">
        <f>TEXT(Data[[#This Row],[Date]],"mmm")</f>
        <v>Sep</v>
      </c>
      <c r="K422">
        <f>MONTH(Data[[#This Row],[Date]])</f>
        <v>9</v>
      </c>
      <c r="L422">
        <f>IF(Data[[#This Row],[Category Type]]="Income",Data[[#This Row],[Amount]],0)</f>
        <v>0</v>
      </c>
      <c r="M422">
        <f>IF(Data[[#This Row],[Category Type]]="Expense",-Data[[#This Row],[Amount]],0)</f>
        <v>55</v>
      </c>
    </row>
    <row r="423" spans="1:13" x14ac:dyDescent="0.25">
      <c r="A423" t="s">
        <v>4</v>
      </c>
      <c r="B423" s="1">
        <v>44463</v>
      </c>
      <c r="C423" t="s">
        <v>27</v>
      </c>
      <c r="D423">
        <v>70.600000000000023</v>
      </c>
      <c r="E423">
        <v>0</v>
      </c>
      <c r="F423">
        <v>-70.600000000000023</v>
      </c>
      <c r="G423" t="s">
        <v>28</v>
      </c>
      <c r="H423" t="s">
        <v>22</v>
      </c>
      <c r="I423" t="s">
        <v>16</v>
      </c>
      <c r="J423" t="str">
        <f>TEXT(Data[[#This Row],[Date]],"mmm")</f>
        <v>Sep</v>
      </c>
      <c r="K423">
        <f>MONTH(Data[[#This Row],[Date]])</f>
        <v>9</v>
      </c>
      <c r="L423">
        <f>IF(Data[[#This Row],[Category Type]]="Income",Data[[#This Row],[Amount]],0)</f>
        <v>0</v>
      </c>
      <c r="M423">
        <f>IF(Data[[#This Row],[Category Type]]="Expense",-Data[[#This Row],[Amount]],0)</f>
        <v>70.600000000000023</v>
      </c>
    </row>
    <row r="424" spans="1:13" x14ac:dyDescent="0.25">
      <c r="A424" t="s">
        <v>4</v>
      </c>
      <c r="B424" s="1">
        <v>44463</v>
      </c>
      <c r="C424" t="s">
        <v>13</v>
      </c>
      <c r="D424">
        <v>5</v>
      </c>
      <c r="E424">
        <v>0</v>
      </c>
      <c r="F424">
        <v>-5</v>
      </c>
      <c r="G424" t="s">
        <v>14</v>
      </c>
      <c r="H424" t="s">
        <v>15</v>
      </c>
      <c r="I424" t="s">
        <v>16</v>
      </c>
      <c r="J424" t="str">
        <f>TEXT(Data[[#This Row],[Date]],"mmm")</f>
        <v>Sep</v>
      </c>
      <c r="K424">
        <f>MONTH(Data[[#This Row],[Date]])</f>
        <v>9</v>
      </c>
      <c r="L424">
        <f>IF(Data[[#This Row],[Category Type]]="Income",Data[[#This Row],[Amount]],0)</f>
        <v>0</v>
      </c>
      <c r="M424">
        <f>IF(Data[[#This Row],[Category Type]]="Expense",-Data[[#This Row],[Amount]],0)</f>
        <v>5</v>
      </c>
    </row>
    <row r="425" spans="1:13" x14ac:dyDescent="0.25">
      <c r="A425" t="s">
        <v>4</v>
      </c>
      <c r="B425" s="1">
        <v>44464</v>
      </c>
      <c r="C425" t="s">
        <v>13</v>
      </c>
      <c r="D425">
        <v>5</v>
      </c>
      <c r="E425">
        <v>0</v>
      </c>
      <c r="F425">
        <v>-5</v>
      </c>
      <c r="G425" t="s">
        <v>14</v>
      </c>
      <c r="H425" t="s">
        <v>15</v>
      </c>
      <c r="I425" t="s">
        <v>16</v>
      </c>
      <c r="J425" t="str">
        <f>TEXT(Data[[#This Row],[Date]],"mmm")</f>
        <v>Sep</v>
      </c>
      <c r="K425">
        <f>MONTH(Data[[#This Row],[Date]])</f>
        <v>9</v>
      </c>
      <c r="L425">
        <f>IF(Data[[#This Row],[Category Type]]="Income",Data[[#This Row],[Amount]],0)</f>
        <v>0</v>
      </c>
      <c r="M425">
        <f>IF(Data[[#This Row],[Category Type]]="Expense",-Data[[#This Row],[Amount]],0)</f>
        <v>5</v>
      </c>
    </row>
    <row r="426" spans="1:13" x14ac:dyDescent="0.25">
      <c r="A426" t="s">
        <v>4</v>
      </c>
      <c r="B426" s="1">
        <v>44465</v>
      </c>
      <c r="C426" t="s">
        <v>13</v>
      </c>
      <c r="D426">
        <v>5</v>
      </c>
      <c r="E426">
        <v>0</v>
      </c>
      <c r="F426">
        <v>-5</v>
      </c>
      <c r="G426" t="s">
        <v>14</v>
      </c>
      <c r="H426" t="s">
        <v>15</v>
      </c>
      <c r="I426" t="s">
        <v>16</v>
      </c>
      <c r="J426" t="str">
        <f>TEXT(Data[[#This Row],[Date]],"mmm")</f>
        <v>Sep</v>
      </c>
      <c r="K426">
        <f>MONTH(Data[[#This Row],[Date]])</f>
        <v>9</v>
      </c>
      <c r="L426">
        <f>IF(Data[[#This Row],[Category Type]]="Income",Data[[#This Row],[Amount]],0)</f>
        <v>0</v>
      </c>
      <c r="M426">
        <f>IF(Data[[#This Row],[Category Type]]="Expense",-Data[[#This Row],[Amount]],0)</f>
        <v>5</v>
      </c>
    </row>
    <row r="427" spans="1:13" x14ac:dyDescent="0.25">
      <c r="A427" t="s">
        <v>4</v>
      </c>
      <c r="B427" s="1">
        <v>44466</v>
      </c>
      <c r="C427" t="s">
        <v>13</v>
      </c>
      <c r="D427">
        <v>5</v>
      </c>
      <c r="E427">
        <v>0</v>
      </c>
      <c r="F427">
        <v>-5</v>
      </c>
      <c r="G427" t="s">
        <v>14</v>
      </c>
      <c r="H427" t="s">
        <v>15</v>
      </c>
      <c r="I427" t="s">
        <v>16</v>
      </c>
      <c r="J427" t="str">
        <f>TEXT(Data[[#This Row],[Date]],"mmm")</f>
        <v>Sep</v>
      </c>
      <c r="K427">
        <f>MONTH(Data[[#This Row],[Date]])</f>
        <v>9</v>
      </c>
      <c r="L427">
        <f>IF(Data[[#This Row],[Category Type]]="Income",Data[[#This Row],[Amount]],0)</f>
        <v>0</v>
      </c>
      <c r="M427">
        <f>IF(Data[[#This Row],[Category Type]]="Expense",-Data[[#This Row],[Amount]],0)</f>
        <v>5</v>
      </c>
    </row>
    <row r="428" spans="1:13" x14ac:dyDescent="0.25">
      <c r="A428" t="s">
        <v>4</v>
      </c>
      <c r="B428" s="1">
        <v>44467</v>
      </c>
      <c r="C428" t="s">
        <v>13</v>
      </c>
      <c r="D428">
        <v>5</v>
      </c>
      <c r="E428">
        <v>0</v>
      </c>
      <c r="F428">
        <v>-5</v>
      </c>
      <c r="G428" t="s">
        <v>14</v>
      </c>
      <c r="H428" t="s">
        <v>15</v>
      </c>
      <c r="I428" t="s">
        <v>16</v>
      </c>
      <c r="J428" t="str">
        <f>TEXT(Data[[#This Row],[Date]],"mmm")</f>
        <v>Sep</v>
      </c>
      <c r="K428">
        <f>MONTH(Data[[#This Row],[Date]])</f>
        <v>9</v>
      </c>
      <c r="L428">
        <f>IF(Data[[#This Row],[Category Type]]="Income",Data[[#This Row],[Amount]],0)</f>
        <v>0</v>
      </c>
      <c r="M428">
        <f>IF(Data[[#This Row],[Category Type]]="Expense",-Data[[#This Row],[Amount]],0)</f>
        <v>5</v>
      </c>
    </row>
    <row r="429" spans="1:13" x14ac:dyDescent="0.25">
      <c r="A429" t="s">
        <v>4</v>
      </c>
      <c r="B429" s="1">
        <v>44467</v>
      </c>
      <c r="C429" t="s">
        <v>23</v>
      </c>
      <c r="D429">
        <v>223</v>
      </c>
      <c r="E429">
        <v>0</v>
      </c>
      <c r="F429">
        <v>-223</v>
      </c>
      <c r="G429" t="s">
        <v>24</v>
      </c>
      <c r="H429" t="s">
        <v>19</v>
      </c>
      <c r="I429" t="s">
        <v>16</v>
      </c>
      <c r="J429" t="str">
        <f>TEXT(Data[[#This Row],[Date]],"mmm")</f>
        <v>Sep</v>
      </c>
      <c r="K429">
        <f>MONTH(Data[[#This Row],[Date]])</f>
        <v>9</v>
      </c>
      <c r="L429">
        <f>IF(Data[[#This Row],[Category Type]]="Income",Data[[#This Row],[Amount]],0)</f>
        <v>0</v>
      </c>
      <c r="M429">
        <f>IF(Data[[#This Row],[Category Type]]="Expense",-Data[[#This Row],[Amount]],0)</f>
        <v>223</v>
      </c>
    </row>
    <row r="430" spans="1:13" x14ac:dyDescent="0.25">
      <c r="A430" t="s">
        <v>4</v>
      </c>
      <c r="B430" s="1">
        <v>44468</v>
      </c>
      <c r="C430" t="s">
        <v>52</v>
      </c>
      <c r="D430">
        <v>132.9</v>
      </c>
      <c r="E430">
        <v>0</v>
      </c>
      <c r="F430">
        <v>-132.9</v>
      </c>
      <c r="G430" t="s">
        <v>32</v>
      </c>
      <c r="H430" t="s">
        <v>30</v>
      </c>
      <c r="I430" t="s">
        <v>16</v>
      </c>
      <c r="J430" t="str">
        <f>TEXT(Data[[#This Row],[Date]],"mmm")</f>
        <v>Sep</v>
      </c>
      <c r="K430">
        <f>MONTH(Data[[#This Row],[Date]])</f>
        <v>9</v>
      </c>
      <c r="L430">
        <f>IF(Data[[#This Row],[Category Type]]="Income",Data[[#This Row],[Amount]],0)</f>
        <v>0</v>
      </c>
      <c r="M430">
        <f>IF(Data[[#This Row],[Category Type]]="Expense",-Data[[#This Row],[Amount]],0)</f>
        <v>132.9</v>
      </c>
    </row>
    <row r="431" spans="1:13" x14ac:dyDescent="0.25">
      <c r="A431" t="s">
        <v>4</v>
      </c>
      <c r="B431" s="1">
        <v>44468</v>
      </c>
      <c r="C431" t="s">
        <v>54</v>
      </c>
      <c r="D431">
        <v>175</v>
      </c>
      <c r="E431">
        <v>0</v>
      </c>
      <c r="F431">
        <v>-175</v>
      </c>
      <c r="G431" t="s">
        <v>32</v>
      </c>
      <c r="H431" t="s">
        <v>30</v>
      </c>
      <c r="I431" t="s">
        <v>16</v>
      </c>
      <c r="J431" t="str">
        <f>TEXT(Data[[#This Row],[Date]],"mmm")</f>
        <v>Sep</v>
      </c>
      <c r="K431">
        <f>MONTH(Data[[#This Row],[Date]])</f>
        <v>9</v>
      </c>
      <c r="L431">
        <f>IF(Data[[#This Row],[Category Type]]="Income",Data[[#This Row],[Amount]],0)</f>
        <v>0</v>
      </c>
      <c r="M431">
        <f>IF(Data[[#This Row],[Category Type]]="Expense",-Data[[#This Row],[Amount]],0)</f>
        <v>175</v>
      </c>
    </row>
    <row r="432" spans="1:13" x14ac:dyDescent="0.25">
      <c r="A432" t="s">
        <v>4</v>
      </c>
      <c r="B432" s="1">
        <v>44469</v>
      </c>
      <c r="C432" t="s">
        <v>31</v>
      </c>
      <c r="D432">
        <v>153.39999999999998</v>
      </c>
      <c r="E432">
        <v>0</v>
      </c>
      <c r="F432">
        <v>-153.39999999999998</v>
      </c>
      <c r="G432" t="s">
        <v>32</v>
      </c>
      <c r="H432" t="s">
        <v>30</v>
      </c>
      <c r="I432" t="s">
        <v>16</v>
      </c>
      <c r="J432" t="str">
        <f>TEXT(Data[[#This Row],[Date]],"mmm")</f>
        <v>Sep</v>
      </c>
      <c r="K432">
        <f>MONTH(Data[[#This Row],[Date]])</f>
        <v>9</v>
      </c>
      <c r="L432">
        <f>IF(Data[[#This Row],[Category Type]]="Income",Data[[#This Row],[Amount]],0)</f>
        <v>0</v>
      </c>
      <c r="M432">
        <f>IF(Data[[#This Row],[Category Type]]="Expense",-Data[[#This Row],[Amount]],0)</f>
        <v>153.39999999999998</v>
      </c>
    </row>
    <row r="433" spans="1:13" x14ac:dyDescent="0.25">
      <c r="A433" t="s">
        <v>4</v>
      </c>
      <c r="B433" s="1">
        <v>44469</v>
      </c>
      <c r="C433" t="s">
        <v>35</v>
      </c>
      <c r="D433">
        <v>31.200000000000003</v>
      </c>
      <c r="E433">
        <v>0</v>
      </c>
      <c r="F433">
        <v>-31.200000000000003</v>
      </c>
      <c r="G433" t="s">
        <v>36</v>
      </c>
      <c r="H433" t="s">
        <v>22</v>
      </c>
      <c r="I433" t="s">
        <v>16</v>
      </c>
      <c r="J433" t="str">
        <f>TEXT(Data[[#This Row],[Date]],"mmm")</f>
        <v>Sep</v>
      </c>
      <c r="K433">
        <f>MONTH(Data[[#This Row],[Date]])</f>
        <v>9</v>
      </c>
      <c r="L433">
        <f>IF(Data[[#This Row],[Category Type]]="Income",Data[[#This Row],[Amount]],0)</f>
        <v>0</v>
      </c>
      <c r="M433">
        <f>IF(Data[[#This Row],[Category Type]]="Expense",-Data[[#This Row],[Amount]],0)</f>
        <v>31.200000000000003</v>
      </c>
    </row>
    <row r="434" spans="1:13" x14ac:dyDescent="0.25">
      <c r="A434" t="s">
        <v>4</v>
      </c>
      <c r="B434" s="1">
        <v>44469</v>
      </c>
      <c r="C434" t="s">
        <v>57</v>
      </c>
      <c r="D434">
        <v>15</v>
      </c>
      <c r="E434">
        <v>0</v>
      </c>
      <c r="F434">
        <v>-15</v>
      </c>
      <c r="G434" t="s">
        <v>34</v>
      </c>
      <c r="H434" t="s">
        <v>15</v>
      </c>
      <c r="I434" t="s">
        <v>16</v>
      </c>
      <c r="J434" t="str">
        <f>TEXT(Data[[#This Row],[Date]],"mmm")</f>
        <v>Sep</v>
      </c>
      <c r="K434">
        <f>MONTH(Data[[#This Row],[Date]])</f>
        <v>9</v>
      </c>
      <c r="L434">
        <f>IF(Data[[#This Row],[Category Type]]="Income",Data[[#This Row],[Amount]],0)</f>
        <v>0</v>
      </c>
      <c r="M434">
        <f>IF(Data[[#This Row],[Category Type]]="Expense",-Data[[#This Row],[Amount]],0)</f>
        <v>15</v>
      </c>
    </row>
    <row r="435" spans="1:13" x14ac:dyDescent="0.25">
      <c r="A435" t="s">
        <v>4</v>
      </c>
      <c r="B435" s="1">
        <v>44470</v>
      </c>
      <c r="C435" t="s">
        <v>13</v>
      </c>
      <c r="D435">
        <v>5</v>
      </c>
      <c r="E435">
        <v>0</v>
      </c>
      <c r="F435">
        <v>-5</v>
      </c>
      <c r="G435" t="s">
        <v>14</v>
      </c>
      <c r="H435" t="s">
        <v>15</v>
      </c>
      <c r="I435" t="s">
        <v>16</v>
      </c>
      <c r="J435" t="str">
        <f>TEXT(Data[[#This Row],[Date]],"mmm")</f>
        <v>Oct</v>
      </c>
      <c r="K435">
        <f>MONTH(Data[[#This Row],[Date]])</f>
        <v>10</v>
      </c>
      <c r="L435">
        <f>IF(Data[[#This Row],[Category Type]]="Income",Data[[#This Row],[Amount]],0)</f>
        <v>0</v>
      </c>
      <c r="M435">
        <f>IF(Data[[#This Row],[Category Type]]="Expense",-Data[[#This Row],[Amount]],0)</f>
        <v>5</v>
      </c>
    </row>
    <row r="436" spans="1:13" x14ac:dyDescent="0.25">
      <c r="A436" t="s">
        <v>4</v>
      </c>
      <c r="B436" s="1">
        <v>44472</v>
      </c>
      <c r="C436" t="s">
        <v>13</v>
      </c>
      <c r="D436">
        <v>5</v>
      </c>
      <c r="E436">
        <v>0</v>
      </c>
      <c r="F436">
        <v>-5</v>
      </c>
      <c r="G436" t="s">
        <v>14</v>
      </c>
      <c r="H436" t="s">
        <v>15</v>
      </c>
      <c r="I436" t="s">
        <v>16</v>
      </c>
      <c r="J436" t="str">
        <f>TEXT(Data[[#This Row],[Date]],"mmm")</f>
        <v>Oct</v>
      </c>
      <c r="K436">
        <f>MONTH(Data[[#This Row],[Date]])</f>
        <v>10</v>
      </c>
      <c r="L436">
        <f>IF(Data[[#This Row],[Category Type]]="Income",Data[[#This Row],[Amount]],0)</f>
        <v>0</v>
      </c>
      <c r="M436">
        <f>IF(Data[[#This Row],[Category Type]]="Expense",-Data[[#This Row],[Amount]],0)</f>
        <v>5</v>
      </c>
    </row>
    <row r="437" spans="1:13" x14ac:dyDescent="0.25">
      <c r="A437" t="s">
        <v>9</v>
      </c>
      <c r="B437" s="1">
        <v>44472</v>
      </c>
      <c r="C437" t="s">
        <v>10</v>
      </c>
      <c r="D437">
        <v>0</v>
      </c>
      <c r="E437">
        <v>4000</v>
      </c>
      <c r="F437">
        <v>4000</v>
      </c>
      <c r="G437" t="s">
        <v>11</v>
      </c>
      <c r="H437" t="s">
        <v>11</v>
      </c>
      <c r="I437" t="s">
        <v>12</v>
      </c>
      <c r="J437" t="str">
        <f>TEXT(Data[[#This Row],[Date]],"mmm")</f>
        <v>Oct</v>
      </c>
      <c r="K437">
        <f>MONTH(Data[[#This Row],[Date]])</f>
        <v>10</v>
      </c>
      <c r="L437">
        <f>IF(Data[[#This Row],[Category Type]]="Income",Data[[#This Row],[Amount]],0)</f>
        <v>4000</v>
      </c>
      <c r="M437">
        <f>IF(Data[[#This Row],[Category Type]]="Expense",-Data[[#This Row],[Amount]],0)</f>
        <v>0</v>
      </c>
    </row>
    <row r="438" spans="1:13" x14ac:dyDescent="0.25">
      <c r="A438" t="s">
        <v>4</v>
      </c>
      <c r="B438" s="1">
        <v>44473</v>
      </c>
      <c r="C438" t="s">
        <v>13</v>
      </c>
      <c r="D438">
        <v>5</v>
      </c>
      <c r="E438">
        <v>0</v>
      </c>
      <c r="F438">
        <v>-5</v>
      </c>
      <c r="G438" t="s">
        <v>14</v>
      </c>
      <c r="H438" t="s">
        <v>15</v>
      </c>
      <c r="I438" t="s">
        <v>16</v>
      </c>
      <c r="J438" t="str">
        <f>TEXT(Data[[#This Row],[Date]],"mmm")</f>
        <v>Oct</v>
      </c>
      <c r="K438">
        <f>MONTH(Data[[#This Row],[Date]])</f>
        <v>10</v>
      </c>
      <c r="L438">
        <f>IF(Data[[#This Row],[Category Type]]="Income",Data[[#This Row],[Amount]],0)</f>
        <v>0</v>
      </c>
      <c r="M438">
        <f>IF(Data[[#This Row],[Category Type]]="Expense",-Data[[#This Row],[Amount]],0)</f>
        <v>5</v>
      </c>
    </row>
    <row r="439" spans="1:13" x14ac:dyDescent="0.25">
      <c r="A439" t="s">
        <v>9</v>
      </c>
      <c r="B439" s="1">
        <v>44475</v>
      </c>
      <c r="C439" t="s">
        <v>17</v>
      </c>
      <c r="D439">
        <v>900</v>
      </c>
      <c r="E439">
        <v>0</v>
      </c>
      <c r="F439">
        <v>-900</v>
      </c>
      <c r="G439" t="s">
        <v>18</v>
      </c>
      <c r="H439" t="s">
        <v>19</v>
      </c>
      <c r="I439" t="s">
        <v>16</v>
      </c>
      <c r="J439" t="str">
        <f>TEXT(Data[[#This Row],[Date]],"mmm")</f>
        <v>Oct</v>
      </c>
      <c r="K439">
        <f>MONTH(Data[[#This Row],[Date]])</f>
        <v>10</v>
      </c>
      <c r="L439">
        <f>IF(Data[[#This Row],[Category Type]]="Income",Data[[#This Row],[Amount]],0)</f>
        <v>0</v>
      </c>
      <c r="M439">
        <f>IF(Data[[#This Row],[Category Type]]="Expense",-Data[[#This Row],[Amount]],0)</f>
        <v>900</v>
      </c>
    </row>
    <row r="440" spans="1:13" x14ac:dyDescent="0.25">
      <c r="A440" t="s">
        <v>9</v>
      </c>
      <c r="B440" s="1">
        <v>44475</v>
      </c>
      <c r="C440" t="s">
        <v>20</v>
      </c>
      <c r="D440">
        <v>150</v>
      </c>
      <c r="E440">
        <v>0</v>
      </c>
      <c r="F440">
        <v>-150</v>
      </c>
      <c r="G440" t="s">
        <v>21</v>
      </c>
      <c r="H440" t="s">
        <v>22</v>
      </c>
      <c r="I440" t="s">
        <v>16</v>
      </c>
      <c r="J440" t="str">
        <f>TEXT(Data[[#This Row],[Date]],"mmm")</f>
        <v>Oct</v>
      </c>
      <c r="K440">
        <f>MONTH(Data[[#This Row],[Date]])</f>
        <v>10</v>
      </c>
      <c r="L440">
        <f>IF(Data[[#This Row],[Category Type]]="Income",Data[[#This Row],[Amount]],0)</f>
        <v>0</v>
      </c>
      <c r="M440">
        <f>IF(Data[[#This Row],[Category Type]]="Expense",-Data[[#This Row],[Amount]],0)</f>
        <v>150</v>
      </c>
    </row>
    <row r="441" spans="1:13" x14ac:dyDescent="0.25">
      <c r="A441" t="s">
        <v>4</v>
      </c>
      <c r="B441" s="1">
        <v>44475</v>
      </c>
      <c r="C441" t="s">
        <v>13</v>
      </c>
      <c r="D441">
        <v>5</v>
      </c>
      <c r="E441">
        <v>0</v>
      </c>
      <c r="F441">
        <v>-5</v>
      </c>
      <c r="G441" t="s">
        <v>14</v>
      </c>
      <c r="H441" t="s">
        <v>15</v>
      </c>
      <c r="I441" t="s">
        <v>16</v>
      </c>
      <c r="J441" t="str">
        <f>TEXT(Data[[#This Row],[Date]],"mmm")</f>
        <v>Oct</v>
      </c>
      <c r="K441">
        <f>MONTH(Data[[#This Row],[Date]])</f>
        <v>10</v>
      </c>
      <c r="L441">
        <f>IF(Data[[#This Row],[Category Type]]="Income",Data[[#This Row],[Amount]],0)</f>
        <v>0</v>
      </c>
      <c r="M441">
        <f>IF(Data[[#This Row],[Category Type]]="Expense",-Data[[#This Row],[Amount]],0)</f>
        <v>5</v>
      </c>
    </row>
    <row r="442" spans="1:13" x14ac:dyDescent="0.25">
      <c r="A442" t="s">
        <v>4</v>
      </c>
      <c r="B442" s="1">
        <v>44476</v>
      </c>
      <c r="C442" t="s">
        <v>13</v>
      </c>
      <c r="D442">
        <v>5</v>
      </c>
      <c r="E442">
        <v>0</v>
      </c>
      <c r="F442">
        <v>-5</v>
      </c>
      <c r="G442" t="s">
        <v>14</v>
      </c>
      <c r="H442" t="s">
        <v>15</v>
      </c>
      <c r="I442" t="s">
        <v>16</v>
      </c>
      <c r="J442" t="str">
        <f>TEXT(Data[[#This Row],[Date]],"mmm")</f>
        <v>Oct</v>
      </c>
      <c r="K442">
        <f>MONTH(Data[[#This Row],[Date]])</f>
        <v>10</v>
      </c>
      <c r="L442">
        <f>IF(Data[[#This Row],[Category Type]]="Income",Data[[#This Row],[Amount]],0)</f>
        <v>0</v>
      </c>
      <c r="M442">
        <f>IF(Data[[#This Row],[Category Type]]="Expense",-Data[[#This Row],[Amount]],0)</f>
        <v>5</v>
      </c>
    </row>
    <row r="443" spans="1:13" x14ac:dyDescent="0.25">
      <c r="A443" t="s">
        <v>4</v>
      </c>
      <c r="B443" s="1">
        <v>44477</v>
      </c>
      <c r="C443" t="s">
        <v>13</v>
      </c>
      <c r="D443">
        <v>5</v>
      </c>
      <c r="E443">
        <v>0</v>
      </c>
      <c r="F443">
        <v>-5</v>
      </c>
      <c r="G443" t="s">
        <v>14</v>
      </c>
      <c r="H443" t="s">
        <v>15</v>
      </c>
      <c r="I443" t="s">
        <v>16</v>
      </c>
      <c r="J443" t="str">
        <f>TEXT(Data[[#This Row],[Date]],"mmm")</f>
        <v>Oct</v>
      </c>
      <c r="K443">
        <f>MONTH(Data[[#This Row],[Date]])</f>
        <v>10</v>
      </c>
      <c r="L443">
        <f>IF(Data[[#This Row],[Category Type]]="Income",Data[[#This Row],[Amount]],0)</f>
        <v>0</v>
      </c>
      <c r="M443">
        <f>IF(Data[[#This Row],[Category Type]]="Expense",-Data[[#This Row],[Amount]],0)</f>
        <v>5</v>
      </c>
    </row>
    <row r="444" spans="1:13" x14ac:dyDescent="0.25">
      <c r="A444" t="s">
        <v>4</v>
      </c>
      <c r="B444" s="1">
        <v>44477</v>
      </c>
      <c r="C444" t="s">
        <v>23</v>
      </c>
      <c r="D444">
        <v>105</v>
      </c>
      <c r="E444">
        <v>0</v>
      </c>
      <c r="F444">
        <v>-105</v>
      </c>
      <c r="G444" t="s">
        <v>24</v>
      </c>
      <c r="H444" t="s">
        <v>19</v>
      </c>
      <c r="I444" t="s">
        <v>16</v>
      </c>
      <c r="J444" t="str">
        <f>TEXT(Data[[#This Row],[Date]],"mmm")</f>
        <v>Oct</v>
      </c>
      <c r="K444">
        <f>MONTH(Data[[#This Row],[Date]])</f>
        <v>10</v>
      </c>
      <c r="L444">
        <f>IF(Data[[#This Row],[Category Type]]="Income",Data[[#This Row],[Amount]],0)</f>
        <v>0</v>
      </c>
      <c r="M444">
        <f>IF(Data[[#This Row],[Category Type]]="Expense",-Data[[#This Row],[Amount]],0)</f>
        <v>105</v>
      </c>
    </row>
    <row r="445" spans="1:13" x14ac:dyDescent="0.25">
      <c r="A445" t="s">
        <v>9</v>
      </c>
      <c r="B445" s="1">
        <v>44480</v>
      </c>
      <c r="C445" t="s">
        <v>25</v>
      </c>
      <c r="D445">
        <v>59</v>
      </c>
      <c r="E445">
        <v>0</v>
      </c>
      <c r="F445">
        <v>-59</v>
      </c>
      <c r="G445" t="s">
        <v>26</v>
      </c>
      <c r="H445" t="s">
        <v>19</v>
      </c>
      <c r="I445" t="s">
        <v>16</v>
      </c>
      <c r="J445" t="str">
        <f>TEXT(Data[[#This Row],[Date]],"mmm")</f>
        <v>Oct</v>
      </c>
      <c r="K445">
        <f>MONTH(Data[[#This Row],[Date]])</f>
        <v>10</v>
      </c>
      <c r="L445">
        <f>IF(Data[[#This Row],[Category Type]]="Income",Data[[#This Row],[Amount]],0)</f>
        <v>0</v>
      </c>
      <c r="M445">
        <f>IF(Data[[#This Row],[Category Type]]="Expense",-Data[[#This Row],[Amount]],0)</f>
        <v>59</v>
      </c>
    </row>
    <row r="446" spans="1:13" x14ac:dyDescent="0.25">
      <c r="A446" t="s">
        <v>4</v>
      </c>
      <c r="B446" s="1">
        <v>44480</v>
      </c>
      <c r="C446" t="s">
        <v>13</v>
      </c>
      <c r="D446">
        <v>5</v>
      </c>
      <c r="E446">
        <v>0</v>
      </c>
      <c r="F446">
        <v>-5</v>
      </c>
      <c r="G446" t="s">
        <v>14</v>
      </c>
      <c r="H446" t="s">
        <v>15</v>
      </c>
      <c r="I446" t="s">
        <v>16</v>
      </c>
      <c r="J446" t="str">
        <f>TEXT(Data[[#This Row],[Date]],"mmm")</f>
        <v>Oct</v>
      </c>
      <c r="K446">
        <f>MONTH(Data[[#This Row],[Date]])</f>
        <v>10</v>
      </c>
      <c r="L446">
        <f>IF(Data[[#This Row],[Category Type]]="Income",Data[[#This Row],[Amount]],0)</f>
        <v>0</v>
      </c>
      <c r="M446">
        <f>IF(Data[[#This Row],[Category Type]]="Expense",-Data[[#This Row],[Amount]],0)</f>
        <v>5</v>
      </c>
    </row>
    <row r="447" spans="1:13" x14ac:dyDescent="0.25">
      <c r="A447" t="s">
        <v>4</v>
      </c>
      <c r="B447" s="1">
        <v>44481</v>
      </c>
      <c r="C447" t="s">
        <v>13</v>
      </c>
      <c r="D447">
        <v>5</v>
      </c>
      <c r="E447">
        <v>0</v>
      </c>
      <c r="F447">
        <v>-5</v>
      </c>
      <c r="G447" t="s">
        <v>14</v>
      </c>
      <c r="H447" t="s">
        <v>15</v>
      </c>
      <c r="I447" t="s">
        <v>16</v>
      </c>
      <c r="J447" t="str">
        <f>TEXT(Data[[#This Row],[Date]],"mmm")</f>
        <v>Oct</v>
      </c>
      <c r="K447">
        <f>MONTH(Data[[#This Row],[Date]])</f>
        <v>10</v>
      </c>
      <c r="L447">
        <f>IF(Data[[#This Row],[Category Type]]="Income",Data[[#This Row],[Amount]],0)</f>
        <v>0</v>
      </c>
      <c r="M447">
        <f>IF(Data[[#This Row],[Category Type]]="Expense",-Data[[#This Row],[Amount]],0)</f>
        <v>5</v>
      </c>
    </row>
    <row r="448" spans="1:13" x14ac:dyDescent="0.25">
      <c r="A448" t="s">
        <v>4</v>
      </c>
      <c r="B448" s="1">
        <v>44482</v>
      </c>
      <c r="C448" t="s">
        <v>27</v>
      </c>
      <c r="D448">
        <v>86.399999999999977</v>
      </c>
      <c r="E448">
        <v>0</v>
      </c>
      <c r="F448">
        <v>-86.399999999999977</v>
      </c>
      <c r="G448" t="s">
        <v>28</v>
      </c>
      <c r="H448" t="s">
        <v>22</v>
      </c>
      <c r="I448" t="s">
        <v>16</v>
      </c>
      <c r="J448" t="str">
        <f>TEXT(Data[[#This Row],[Date]],"mmm")</f>
        <v>Oct</v>
      </c>
      <c r="K448">
        <f>MONTH(Data[[#This Row],[Date]])</f>
        <v>10</v>
      </c>
      <c r="L448">
        <f>IF(Data[[#This Row],[Category Type]]="Income",Data[[#This Row],[Amount]],0)</f>
        <v>0</v>
      </c>
      <c r="M448">
        <f>IF(Data[[#This Row],[Category Type]]="Expense",-Data[[#This Row],[Amount]],0)</f>
        <v>86.399999999999977</v>
      </c>
    </row>
    <row r="449" spans="1:13" x14ac:dyDescent="0.25">
      <c r="A449" t="s">
        <v>4</v>
      </c>
      <c r="B449" s="1">
        <v>44482</v>
      </c>
      <c r="C449" t="s">
        <v>13</v>
      </c>
      <c r="D449">
        <v>5</v>
      </c>
      <c r="E449">
        <v>0</v>
      </c>
      <c r="F449">
        <v>-5</v>
      </c>
      <c r="G449" t="s">
        <v>14</v>
      </c>
      <c r="H449" t="s">
        <v>15</v>
      </c>
      <c r="I449" t="s">
        <v>16</v>
      </c>
      <c r="J449" t="str">
        <f>TEXT(Data[[#This Row],[Date]],"mmm")</f>
        <v>Oct</v>
      </c>
      <c r="K449">
        <f>MONTH(Data[[#This Row],[Date]])</f>
        <v>10</v>
      </c>
      <c r="L449">
        <f>IF(Data[[#This Row],[Category Type]]="Income",Data[[#This Row],[Amount]],0)</f>
        <v>0</v>
      </c>
      <c r="M449">
        <f>IF(Data[[#This Row],[Category Type]]="Expense",-Data[[#This Row],[Amount]],0)</f>
        <v>5</v>
      </c>
    </row>
    <row r="450" spans="1:13" x14ac:dyDescent="0.25">
      <c r="A450" t="s">
        <v>4</v>
      </c>
      <c r="B450" s="1">
        <v>44483</v>
      </c>
      <c r="C450" t="s">
        <v>13</v>
      </c>
      <c r="D450">
        <v>5</v>
      </c>
      <c r="E450">
        <v>0</v>
      </c>
      <c r="F450">
        <v>-5</v>
      </c>
      <c r="G450" t="s">
        <v>14</v>
      </c>
      <c r="H450" t="s">
        <v>15</v>
      </c>
      <c r="I450" t="s">
        <v>16</v>
      </c>
      <c r="J450" t="str">
        <f>TEXT(Data[[#This Row],[Date]],"mmm")</f>
        <v>Oct</v>
      </c>
      <c r="K450">
        <f>MONTH(Data[[#This Row],[Date]])</f>
        <v>10</v>
      </c>
      <c r="L450">
        <f>IF(Data[[#This Row],[Category Type]]="Income",Data[[#This Row],[Amount]],0)</f>
        <v>0</v>
      </c>
      <c r="M450">
        <f>IF(Data[[#This Row],[Category Type]]="Expense",-Data[[#This Row],[Amount]],0)</f>
        <v>5</v>
      </c>
    </row>
    <row r="451" spans="1:13" x14ac:dyDescent="0.25">
      <c r="A451" t="s">
        <v>4</v>
      </c>
      <c r="B451" s="1">
        <v>44484</v>
      </c>
      <c r="C451" t="s">
        <v>23</v>
      </c>
      <c r="D451">
        <v>143.9</v>
      </c>
      <c r="E451">
        <v>0</v>
      </c>
      <c r="F451">
        <v>-143.9</v>
      </c>
      <c r="G451" t="s">
        <v>24</v>
      </c>
      <c r="H451" t="s">
        <v>19</v>
      </c>
      <c r="I451" t="s">
        <v>16</v>
      </c>
      <c r="J451" t="str">
        <f>TEXT(Data[[#This Row],[Date]],"mmm")</f>
        <v>Oct</v>
      </c>
      <c r="K451">
        <f>MONTH(Data[[#This Row],[Date]])</f>
        <v>10</v>
      </c>
      <c r="L451">
        <f>IF(Data[[#This Row],[Category Type]]="Income",Data[[#This Row],[Amount]],0)</f>
        <v>0</v>
      </c>
      <c r="M451">
        <f>IF(Data[[#This Row],[Category Type]]="Expense",-Data[[#This Row],[Amount]],0)</f>
        <v>143.9</v>
      </c>
    </row>
    <row r="452" spans="1:13" x14ac:dyDescent="0.25">
      <c r="A452" t="s">
        <v>4</v>
      </c>
      <c r="B452" s="1">
        <v>44484</v>
      </c>
      <c r="C452" t="s">
        <v>13</v>
      </c>
      <c r="D452">
        <v>5</v>
      </c>
      <c r="E452">
        <v>0</v>
      </c>
      <c r="F452">
        <v>-5</v>
      </c>
      <c r="G452" t="s">
        <v>14</v>
      </c>
      <c r="H452" t="s">
        <v>15</v>
      </c>
      <c r="I452" t="s">
        <v>16</v>
      </c>
      <c r="J452" t="str">
        <f>TEXT(Data[[#This Row],[Date]],"mmm")</f>
        <v>Oct</v>
      </c>
      <c r="K452">
        <f>MONTH(Data[[#This Row],[Date]])</f>
        <v>10</v>
      </c>
      <c r="L452">
        <f>IF(Data[[#This Row],[Category Type]]="Income",Data[[#This Row],[Amount]],0)</f>
        <v>0</v>
      </c>
      <c r="M452">
        <f>IF(Data[[#This Row],[Category Type]]="Expense",-Data[[#This Row],[Amount]],0)</f>
        <v>5</v>
      </c>
    </row>
    <row r="453" spans="1:13" x14ac:dyDescent="0.25">
      <c r="A453" t="s">
        <v>4</v>
      </c>
      <c r="B453" s="1">
        <v>44485</v>
      </c>
      <c r="C453" t="s">
        <v>13</v>
      </c>
      <c r="D453">
        <v>5</v>
      </c>
      <c r="E453">
        <v>0</v>
      </c>
      <c r="F453">
        <v>-5</v>
      </c>
      <c r="G453" t="s">
        <v>14</v>
      </c>
      <c r="H453" t="s">
        <v>15</v>
      </c>
      <c r="I453" t="s">
        <v>16</v>
      </c>
      <c r="J453" t="str">
        <f>TEXT(Data[[#This Row],[Date]],"mmm")</f>
        <v>Oct</v>
      </c>
      <c r="K453">
        <f>MONTH(Data[[#This Row],[Date]])</f>
        <v>10</v>
      </c>
      <c r="L453">
        <f>IF(Data[[#This Row],[Category Type]]="Income",Data[[#This Row],[Amount]],0)</f>
        <v>0</v>
      </c>
      <c r="M453">
        <f>IF(Data[[#This Row],[Category Type]]="Expense",-Data[[#This Row],[Amount]],0)</f>
        <v>5</v>
      </c>
    </row>
    <row r="454" spans="1:13" x14ac:dyDescent="0.25">
      <c r="A454" t="s">
        <v>4</v>
      </c>
      <c r="B454" s="1">
        <v>44485</v>
      </c>
      <c r="C454" t="s">
        <v>29</v>
      </c>
      <c r="D454">
        <v>48.8</v>
      </c>
      <c r="E454">
        <v>0</v>
      </c>
      <c r="F454">
        <v>-48.8</v>
      </c>
      <c r="G454" t="s">
        <v>21</v>
      </c>
      <c r="H454" t="s">
        <v>30</v>
      </c>
      <c r="I454" t="s">
        <v>16</v>
      </c>
      <c r="J454" t="str">
        <f>TEXT(Data[[#This Row],[Date]],"mmm")</f>
        <v>Oct</v>
      </c>
      <c r="K454">
        <f>MONTH(Data[[#This Row],[Date]])</f>
        <v>10</v>
      </c>
      <c r="L454">
        <f>IF(Data[[#This Row],[Category Type]]="Income",Data[[#This Row],[Amount]],0)</f>
        <v>0</v>
      </c>
      <c r="M454">
        <f>IF(Data[[#This Row],[Category Type]]="Expense",-Data[[#This Row],[Amount]],0)</f>
        <v>48.8</v>
      </c>
    </row>
    <row r="455" spans="1:13" x14ac:dyDescent="0.25">
      <c r="A455" t="s">
        <v>4</v>
      </c>
      <c r="B455" s="1">
        <v>44485</v>
      </c>
      <c r="C455" t="s">
        <v>31</v>
      </c>
      <c r="D455">
        <v>106.70000000000002</v>
      </c>
      <c r="E455">
        <v>0</v>
      </c>
      <c r="F455">
        <v>-106.70000000000002</v>
      </c>
      <c r="G455" t="s">
        <v>32</v>
      </c>
      <c r="H455" t="s">
        <v>30</v>
      </c>
      <c r="I455" t="s">
        <v>16</v>
      </c>
      <c r="J455" t="str">
        <f>TEXT(Data[[#This Row],[Date]],"mmm")</f>
        <v>Oct</v>
      </c>
      <c r="K455">
        <f>MONTH(Data[[#This Row],[Date]])</f>
        <v>10</v>
      </c>
      <c r="L455">
        <f>IF(Data[[#This Row],[Category Type]]="Income",Data[[#This Row],[Amount]],0)</f>
        <v>0</v>
      </c>
      <c r="M455">
        <f>IF(Data[[#This Row],[Category Type]]="Expense",-Data[[#This Row],[Amount]],0)</f>
        <v>106.70000000000002</v>
      </c>
    </row>
    <row r="456" spans="1:13" x14ac:dyDescent="0.25">
      <c r="A456" t="s">
        <v>4</v>
      </c>
      <c r="B456" s="1">
        <v>44485</v>
      </c>
      <c r="C456" t="s">
        <v>33</v>
      </c>
      <c r="D456">
        <v>61.1</v>
      </c>
      <c r="E456">
        <v>0</v>
      </c>
      <c r="F456">
        <v>-61.1</v>
      </c>
      <c r="G456" t="s">
        <v>34</v>
      </c>
      <c r="H456" t="s">
        <v>15</v>
      </c>
      <c r="I456" t="s">
        <v>16</v>
      </c>
      <c r="J456" t="str">
        <f>TEXT(Data[[#This Row],[Date]],"mmm")</f>
        <v>Oct</v>
      </c>
      <c r="K456">
        <f>MONTH(Data[[#This Row],[Date]])</f>
        <v>10</v>
      </c>
      <c r="L456">
        <f>IF(Data[[#This Row],[Category Type]]="Income",Data[[#This Row],[Amount]],0)</f>
        <v>0</v>
      </c>
      <c r="M456">
        <f>IF(Data[[#This Row],[Category Type]]="Expense",-Data[[#This Row],[Amount]],0)</f>
        <v>61.1</v>
      </c>
    </row>
    <row r="457" spans="1:13" x14ac:dyDescent="0.25">
      <c r="A457" t="s">
        <v>4</v>
      </c>
      <c r="B457" s="1">
        <v>44486</v>
      </c>
      <c r="C457" t="s">
        <v>35</v>
      </c>
      <c r="D457">
        <v>37.200000000000003</v>
      </c>
      <c r="E457">
        <v>0</v>
      </c>
      <c r="F457">
        <v>-37.200000000000003</v>
      </c>
      <c r="G457" t="s">
        <v>36</v>
      </c>
      <c r="H457" t="s">
        <v>22</v>
      </c>
      <c r="I457" t="s">
        <v>16</v>
      </c>
      <c r="J457" t="str">
        <f>TEXT(Data[[#This Row],[Date]],"mmm")</f>
        <v>Oct</v>
      </c>
      <c r="K457">
        <f>MONTH(Data[[#This Row],[Date]])</f>
        <v>10</v>
      </c>
      <c r="L457">
        <f>IF(Data[[#This Row],[Category Type]]="Income",Data[[#This Row],[Amount]],0)</f>
        <v>0</v>
      </c>
      <c r="M457">
        <f>IF(Data[[#This Row],[Category Type]]="Expense",-Data[[#This Row],[Amount]],0)</f>
        <v>37.200000000000003</v>
      </c>
    </row>
    <row r="458" spans="1:13" x14ac:dyDescent="0.25">
      <c r="A458" t="s">
        <v>9</v>
      </c>
      <c r="B458" s="1">
        <v>44487</v>
      </c>
      <c r="C458" t="s">
        <v>37</v>
      </c>
      <c r="D458">
        <v>30</v>
      </c>
      <c r="E458">
        <v>0</v>
      </c>
      <c r="F458">
        <v>-30</v>
      </c>
      <c r="G458" t="s">
        <v>38</v>
      </c>
      <c r="H458" t="s">
        <v>30</v>
      </c>
      <c r="I458" t="s">
        <v>16</v>
      </c>
      <c r="J458" t="str">
        <f>TEXT(Data[[#This Row],[Date]],"mmm")</f>
        <v>Oct</v>
      </c>
      <c r="K458">
        <f>MONTH(Data[[#This Row],[Date]])</f>
        <v>10</v>
      </c>
      <c r="L458">
        <f>IF(Data[[#This Row],[Category Type]]="Income",Data[[#This Row],[Amount]],0)</f>
        <v>0</v>
      </c>
      <c r="M458">
        <f>IF(Data[[#This Row],[Category Type]]="Expense",-Data[[#This Row],[Amount]],0)</f>
        <v>30</v>
      </c>
    </row>
    <row r="459" spans="1:13" x14ac:dyDescent="0.25">
      <c r="A459" t="s">
        <v>4</v>
      </c>
      <c r="B459" s="1">
        <v>44487</v>
      </c>
      <c r="C459" t="s">
        <v>13</v>
      </c>
      <c r="D459">
        <v>5</v>
      </c>
      <c r="E459">
        <v>0</v>
      </c>
      <c r="F459">
        <v>-5</v>
      </c>
      <c r="G459" t="s">
        <v>14</v>
      </c>
      <c r="H459" t="s">
        <v>15</v>
      </c>
      <c r="I459" t="s">
        <v>16</v>
      </c>
      <c r="J459" t="str">
        <f>TEXT(Data[[#This Row],[Date]],"mmm")</f>
        <v>Oct</v>
      </c>
      <c r="K459">
        <f>MONTH(Data[[#This Row],[Date]])</f>
        <v>10</v>
      </c>
      <c r="L459">
        <f>IF(Data[[#This Row],[Category Type]]="Income",Data[[#This Row],[Amount]],0)</f>
        <v>0</v>
      </c>
      <c r="M459">
        <f>IF(Data[[#This Row],[Category Type]]="Expense",-Data[[#This Row],[Amount]],0)</f>
        <v>5</v>
      </c>
    </row>
    <row r="460" spans="1:13" x14ac:dyDescent="0.25">
      <c r="A460" t="s">
        <v>4</v>
      </c>
      <c r="B460" s="1">
        <v>44488</v>
      </c>
      <c r="C460" t="s">
        <v>13</v>
      </c>
      <c r="D460">
        <v>5</v>
      </c>
      <c r="E460">
        <v>0</v>
      </c>
      <c r="F460">
        <v>-5</v>
      </c>
      <c r="G460" t="s">
        <v>14</v>
      </c>
      <c r="H460" t="s">
        <v>15</v>
      </c>
      <c r="I460" t="s">
        <v>16</v>
      </c>
      <c r="J460" t="str">
        <f>TEXT(Data[[#This Row],[Date]],"mmm")</f>
        <v>Oct</v>
      </c>
      <c r="K460">
        <f>MONTH(Data[[#This Row],[Date]])</f>
        <v>10</v>
      </c>
      <c r="L460">
        <f>IF(Data[[#This Row],[Category Type]]="Income",Data[[#This Row],[Amount]],0)</f>
        <v>0</v>
      </c>
      <c r="M460">
        <f>IF(Data[[#This Row],[Category Type]]="Expense",-Data[[#This Row],[Amount]],0)</f>
        <v>5</v>
      </c>
    </row>
    <row r="461" spans="1:13" x14ac:dyDescent="0.25">
      <c r="A461" t="s">
        <v>9</v>
      </c>
      <c r="B461" s="1">
        <v>44488</v>
      </c>
      <c r="C461" t="s">
        <v>55</v>
      </c>
      <c r="D461">
        <v>75</v>
      </c>
      <c r="E461">
        <v>0</v>
      </c>
      <c r="F461">
        <v>-75</v>
      </c>
      <c r="G461" t="s">
        <v>40</v>
      </c>
      <c r="H461" t="s">
        <v>41</v>
      </c>
      <c r="I461" t="s">
        <v>16</v>
      </c>
      <c r="J461" t="str">
        <f>TEXT(Data[[#This Row],[Date]],"mmm")</f>
        <v>Oct</v>
      </c>
      <c r="K461">
        <f>MONTH(Data[[#This Row],[Date]])</f>
        <v>10</v>
      </c>
      <c r="L461">
        <f>IF(Data[[#This Row],[Category Type]]="Income",Data[[#This Row],[Amount]],0)</f>
        <v>0</v>
      </c>
      <c r="M461">
        <f>IF(Data[[#This Row],[Category Type]]="Expense",-Data[[#This Row],[Amount]],0)</f>
        <v>75</v>
      </c>
    </row>
    <row r="462" spans="1:13" x14ac:dyDescent="0.25">
      <c r="A462" t="s">
        <v>9</v>
      </c>
      <c r="B462" s="1">
        <v>44488</v>
      </c>
      <c r="C462" t="s">
        <v>42</v>
      </c>
      <c r="D462">
        <v>40</v>
      </c>
      <c r="E462">
        <v>0</v>
      </c>
      <c r="F462">
        <v>-40</v>
      </c>
      <c r="G462" t="s">
        <v>43</v>
      </c>
      <c r="H462" t="s">
        <v>19</v>
      </c>
      <c r="I462" t="s">
        <v>16</v>
      </c>
      <c r="J462" t="str">
        <f>TEXT(Data[[#This Row],[Date]],"mmm")</f>
        <v>Oct</v>
      </c>
      <c r="K462">
        <f>MONTH(Data[[#This Row],[Date]])</f>
        <v>10</v>
      </c>
      <c r="L462">
        <f>IF(Data[[#This Row],[Category Type]]="Income",Data[[#This Row],[Amount]],0)</f>
        <v>0</v>
      </c>
      <c r="M462">
        <f>IF(Data[[#This Row],[Category Type]]="Expense",-Data[[#This Row],[Amount]],0)</f>
        <v>40</v>
      </c>
    </row>
    <row r="463" spans="1:13" x14ac:dyDescent="0.25">
      <c r="A463" t="s">
        <v>4</v>
      </c>
      <c r="B463" s="1">
        <v>44489</v>
      </c>
      <c r="C463" t="s">
        <v>44</v>
      </c>
      <c r="D463">
        <v>54.1</v>
      </c>
      <c r="E463">
        <v>0</v>
      </c>
      <c r="F463">
        <v>-54.1</v>
      </c>
      <c r="G463" t="s">
        <v>45</v>
      </c>
      <c r="H463" t="s">
        <v>30</v>
      </c>
      <c r="I463" t="s">
        <v>16</v>
      </c>
      <c r="J463" t="str">
        <f>TEXT(Data[[#This Row],[Date]],"mmm")</f>
        <v>Oct</v>
      </c>
      <c r="K463">
        <f>MONTH(Data[[#This Row],[Date]])</f>
        <v>10</v>
      </c>
      <c r="L463">
        <f>IF(Data[[#This Row],[Category Type]]="Income",Data[[#This Row],[Amount]],0)</f>
        <v>0</v>
      </c>
      <c r="M463">
        <f>IF(Data[[#This Row],[Category Type]]="Expense",-Data[[#This Row],[Amount]],0)</f>
        <v>54.1</v>
      </c>
    </row>
    <row r="464" spans="1:13" x14ac:dyDescent="0.25">
      <c r="A464" t="s">
        <v>4</v>
      </c>
      <c r="B464" s="1">
        <v>44489</v>
      </c>
      <c r="C464" t="s">
        <v>46</v>
      </c>
      <c r="D464">
        <v>35</v>
      </c>
      <c r="E464">
        <v>0</v>
      </c>
      <c r="F464">
        <v>-35</v>
      </c>
      <c r="G464" t="s">
        <v>21</v>
      </c>
      <c r="H464" t="s">
        <v>30</v>
      </c>
      <c r="I464" t="s">
        <v>16</v>
      </c>
      <c r="J464" t="str">
        <f>TEXT(Data[[#This Row],[Date]],"mmm")</f>
        <v>Oct</v>
      </c>
      <c r="K464">
        <f>MONTH(Data[[#This Row],[Date]])</f>
        <v>10</v>
      </c>
      <c r="L464">
        <f>IF(Data[[#This Row],[Category Type]]="Income",Data[[#This Row],[Amount]],0)</f>
        <v>0</v>
      </c>
      <c r="M464">
        <f>IF(Data[[#This Row],[Category Type]]="Expense",-Data[[#This Row],[Amount]],0)</f>
        <v>35</v>
      </c>
    </row>
    <row r="465" spans="1:13" x14ac:dyDescent="0.25">
      <c r="A465" t="s">
        <v>4</v>
      </c>
      <c r="B465" s="1">
        <v>44489</v>
      </c>
      <c r="C465" t="s">
        <v>13</v>
      </c>
      <c r="D465">
        <v>5</v>
      </c>
      <c r="E465">
        <v>0</v>
      </c>
      <c r="F465">
        <v>-5</v>
      </c>
      <c r="G465" t="s">
        <v>14</v>
      </c>
      <c r="H465" t="s">
        <v>15</v>
      </c>
      <c r="I465" t="s">
        <v>16</v>
      </c>
      <c r="J465" t="str">
        <f>TEXT(Data[[#This Row],[Date]],"mmm")</f>
        <v>Oct</v>
      </c>
      <c r="K465">
        <f>MONTH(Data[[#This Row],[Date]])</f>
        <v>10</v>
      </c>
      <c r="L465">
        <f>IF(Data[[#This Row],[Category Type]]="Income",Data[[#This Row],[Amount]],0)</f>
        <v>0</v>
      </c>
      <c r="M465">
        <f>IF(Data[[#This Row],[Category Type]]="Expense",-Data[[#This Row],[Amount]],0)</f>
        <v>5</v>
      </c>
    </row>
    <row r="466" spans="1:13" x14ac:dyDescent="0.25">
      <c r="A466" t="s">
        <v>4</v>
      </c>
      <c r="B466" s="1">
        <v>44490</v>
      </c>
      <c r="C466" t="s">
        <v>13</v>
      </c>
      <c r="D466">
        <v>5</v>
      </c>
      <c r="E466">
        <v>0</v>
      </c>
      <c r="F466">
        <v>-5</v>
      </c>
      <c r="G466" t="s">
        <v>14</v>
      </c>
      <c r="H466" t="s">
        <v>15</v>
      </c>
      <c r="I466" t="s">
        <v>16</v>
      </c>
      <c r="J466" t="str">
        <f>TEXT(Data[[#This Row],[Date]],"mmm")</f>
        <v>Oct</v>
      </c>
      <c r="K466">
        <f>MONTH(Data[[#This Row],[Date]])</f>
        <v>10</v>
      </c>
      <c r="L466">
        <f>IF(Data[[#This Row],[Category Type]]="Income",Data[[#This Row],[Amount]],0)</f>
        <v>0</v>
      </c>
      <c r="M466">
        <f>IF(Data[[#This Row],[Category Type]]="Expense",-Data[[#This Row],[Amount]],0)</f>
        <v>5</v>
      </c>
    </row>
    <row r="467" spans="1:13" x14ac:dyDescent="0.25">
      <c r="A467" t="s">
        <v>4</v>
      </c>
      <c r="B467" s="1">
        <v>44491</v>
      </c>
      <c r="C467" t="s">
        <v>13</v>
      </c>
      <c r="D467">
        <v>5</v>
      </c>
      <c r="E467">
        <v>0</v>
      </c>
      <c r="F467">
        <v>-5</v>
      </c>
      <c r="G467" t="s">
        <v>14</v>
      </c>
      <c r="H467" t="s">
        <v>15</v>
      </c>
      <c r="I467" t="s">
        <v>16</v>
      </c>
      <c r="J467" t="str">
        <f>TEXT(Data[[#This Row],[Date]],"mmm")</f>
        <v>Oct</v>
      </c>
      <c r="K467">
        <f>MONTH(Data[[#This Row],[Date]])</f>
        <v>10</v>
      </c>
      <c r="L467">
        <f>IF(Data[[#This Row],[Category Type]]="Income",Data[[#This Row],[Amount]],0)</f>
        <v>0</v>
      </c>
      <c r="M467">
        <f>IF(Data[[#This Row],[Category Type]]="Expense",-Data[[#This Row],[Amount]],0)</f>
        <v>5</v>
      </c>
    </row>
    <row r="468" spans="1:13" x14ac:dyDescent="0.25">
      <c r="A468" t="s">
        <v>4</v>
      </c>
      <c r="B468" s="1">
        <v>44491</v>
      </c>
      <c r="C468" t="s">
        <v>23</v>
      </c>
      <c r="D468">
        <v>178.9</v>
      </c>
      <c r="E468">
        <v>0</v>
      </c>
      <c r="F468">
        <v>-178.9</v>
      </c>
      <c r="G468" t="s">
        <v>24</v>
      </c>
      <c r="H468" t="s">
        <v>19</v>
      </c>
      <c r="I468" t="s">
        <v>16</v>
      </c>
      <c r="J468" t="str">
        <f>TEXT(Data[[#This Row],[Date]],"mmm")</f>
        <v>Oct</v>
      </c>
      <c r="K468">
        <f>MONTH(Data[[#This Row],[Date]])</f>
        <v>10</v>
      </c>
      <c r="L468">
        <f>IF(Data[[#This Row],[Category Type]]="Income",Data[[#This Row],[Amount]],0)</f>
        <v>0</v>
      </c>
      <c r="M468">
        <f>IF(Data[[#This Row],[Category Type]]="Expense",-Data[[#This Row],[Amount]],0)</f>
        <v>178.9</v>
      </c>
    </row>
    <row r="469" spans="1:13" x14ac:dyDescent="0.25">
      <c r="A469" t="s">
        <v>4</v>
      </c>
      <c r="B469" s="1">
        <v>44492</v>
      </c>
      <c r="C469" t="s">
        <v>47</v>
      </c>
      <c r="D469">
        <v>46.2</v>
      </c>
      <c r="E469">
        <v>0</v>
      </c>
      <c r="F469">
        <v>-46.2</v>
      </c>
      <c r="G469" t="s">
        <v>34</v>
      </c>
      <c r="H469" t="s">
        <v>15</v>
      </c>
      <c r="I469" t="s">
        <v>16</v>
      </c>
      <c r="J469" t="str">
        <f>TEXT(Data[[#This Row],[Date]],"mmm")</f>
        <v>Oct</v>
      </c>
      <c r="K469">
        <f>MONTH(Data[[#This Row],[Date]])</f>
        <v>10</v>
      </c>
      <c r="L469">
        <f>IF(Data[[#This Row],[Category Type]]="Income",Data[[#This Row],[Amount]],0)</f>
        <v>0</v>
      </c>
      <c r="M469">
        <f>IF(Data[[#This Row],[Category Type]]="Expense",-Data[[#This Row],[Amount]],0)</f>
        <v>46.2</v>
      </c>
    </row>
    <row r="470" spans="1:13" x14ac:dyDescent="0.25">
      <c r="A470" t="s">
        <v>4</v>
      </c>
      <c r="B470" s="1">
        <v>44493</v>
      </c>
      <c r="C470" t="s">
        <v>48</v>
      </c>
      <c r="D470">
        <v>21.099999999999998</v>
      </c>
      <c r="E470">
        <v>0</v>
      </c>
      <c r="F470">
        <v>-21.099999999999998</v>
      </c>
      <c r="G470" t="s">
        <v>34</v>
      </c>
      <c r="H470" t="s">
        <v>15</v>
      </c>
      <c r="I470" t="s">
        <v>16</v>
      </c>
      <c r="J470" t="str">
        <f>TEXT(Data[[#This Row],[Date]],"mmm")</f>
        <v>Oct</v>
      </c>
      <c r="K470">
        <f>MONTH(Data[[#This Row],[Date]])</f>
        <v>10</v>
      </c>
      <c r="L470">
        <f>IF(Data[[#This Row],[Category Type]]="Income",Data[[#This Row],[Amount]],0)</f>
        <v>0</v>
      </c>
      <c r="M470">
        <f>IF(Data[[#This Row],[Category Type]]="Expense",-Data[[#This Row],[Amount]],0)</f>
        <v>21.099999999999998</v>
      </c>
    </row>
    <row r="471" spans="1:13" x14ac:dyDescent="0.25">
      <c r="A471" t="s">
        <v>9</v>
      </c>
      <c r="B471" s="1">
        <v>44494</v>
      </c>
      <c r="C471" t="s">
        <v>49</v>
      </c>
      <c r="D471">
        <v>55</v>
      </c>
      <c r="E471">
        <v>0</v>
      </c>
      <c r="F471">
        <v>-55</v>
      </c>
      <c r="G471" t="s">
        <v>50</v>
      </c>
      <c r="H471" t="s">
        <v>51</v>
      </c>
      <c r="I471" t="s">
        <v>16</v>
      </c>
      <c r="J471" t="str">
        <f>TEXT(Data[[#This Row],[Date]],"mmm")</f>
        <v>Oct</v>
      </c>
      <c r="K471">
        <f>MONTH(Data[[#This Row],[Date]])</f>
        <v>10</v>
      </c>
      <c r="L471">
        <f>IF(Data[[#This Row],[Category Type]]="Income",Data[[#This Row],[Amount]],0)</f>
        <v>0</v>
      </c>
      <c r="M471">
        <f>IF(Data[[#This Row],[Category Type]]="Expense",-Data[[#This Row],[Amount]],0)</f>
        <v>55</v>
      </c>
    </row>
    <row r="472" spans="1:13" x14ac:dyDescent="0.25">
      <c r="A472" t="s">
        <v>4</v>
      </c>
      <c r="B472" s="1">
        <v>44494</v>
      </c>
      <c r="C472" t="s">
        <v>27</v>
      </c>
      <c r="D472">
        <v>71.500000000000028</v>
      </c>
      <c r="E472">
        <v>0</v>
      </c>
      <c r="F472">
        <v>-71.500000000000028</v>
      </c>
      <c r="G472" t="s">
        <v>28</v>
      </c>
      <c r="H472" t="s">
        <v>22</v>
      </c>
      <c r="I472" t="s">
        <v>16</v>
      </c>
      <c r="J472" t="str">
        <f>TEXT(Data[[#This Row],[Date]],"mmm")</f>
        <v>Oct</v>
      </c>
      <c r="K472">
        <f>MONTH(Data[[#This Row],[Date]])</f>
        <v>10</v>
      </c>
      <c r="L472">
        <f>IF(Data[[#This Row],[Category Type]]="Income",Data[[#This Row],[Amount]],0)</f>
        <v>0</v>
      </c>
      <c r="M472">
        <f>IF(Data[[#This Row],[Category Type]]="Expense",-Data[[#This Row],[Amount]],0)</f>
        <v>71.500000000000028</v>
      </c>
    </row>
    <row r="473" spans="1:13" x14ac:dyDescent="0.25">
      <c r="A473" t="s">
        <v>4</v>
      </c>
      <c r="B473" s="1">
        <v>44494</v>
      </c>
      <c r="C473" t="s">
        <v>13</v>
      </c>
      <c r="D473">
        <v>5</v>
      </c>
      <c r="E473">
        <v>0</v>
      </c>
      <c r="F473">
        <v>-5</v>
      </c>
      <c r="G473" t="s">
        <v>14</v>
      </c>
      <c r="H473" t="s">
        <v>15</v>
      </c>
      <c r="I473" t="s">
        <v>16</v>
      </c>
      <c r="J473" t="str">
        <f>TEXT(Data[[#This Row],[Date]],"mmm")</f>
        <v>Oct</v>
      </c>
      <c r="K473">
        <f>MONTH(Data[[#This Row],[Date]])</f>
        <v>10</v>
      </c>
      <c r="L473">
        <f>IF(Data[[#This Row],[Category Type]]="Income",Data[[#This Row],[Amount]],0)</f>
        <v>0</v>
      </c>
      <c r="M473">
        <f>IF(Data[[#This Row],[Category Type]]="Expense",-Data[[#This Row],[Amount]],0)</f>
        <v>5</v>
      </c>
    </row>
    <row r="474" spans="1:13" x14ac:dyDescent="0.25">
      <c r="A474" t="s">
        <v>4</v>
      </c>
      <c r="B474" s="1">
        <v>44495</v>
      </c>
      <c r="C474" t="s">
        <v>13</v>
      </c>
      <c r="D474">
        <v>5</v>
      </c>
      <c r="E474">
        <v>0</v>
      </c>
      <c r="F474">
        <v>-5</v>
      </c>
      <c r="G474" t="s">
        <v>14</v>
      </c>
      <c r="H474" t="s">
        <v>15</v>
      </c>
      <c r="I474" t="s">
        <v>16</v>
      </c>
      <c r="J474" t="str">
        <f>TEXT(Data[[#This Row],[Date]],"mmm")</f>
        <v>Oct</v>
      </c>
      <c r="K474">
        <f>MONTH(Data[[#This Row],[Date]])</f>
        <v>10</v>
      </c>
      <c r="L474">
        <f>IF(Data[[#This Row],[Category Type]]="Income",Data[[#This Row],[Amount]],0)</f>
        <v>0</v>
      </c>
      <c r="M474">
        <f>IF(Data[[#This Row],[Category Type]]="Expense",-Data[[#This Row],[Amount]],0)</f>
        <v>5</v>
      </c>
    </row>
    <row r="475" spans="1:13" x14ac:dyDescent="0.25">
      <c r="A475" t="s">
        <v>4</v>
      </c>
      <c r="B475" s="1">
        <v>44496</v>
      </c>
      <c r="C475" t="s">
        <v>13</v>
      </c>
      <c r="D475">
        <v>5</v>
      </c>
      <c r="E475">
        <v>0</v>
      </c>
      <c r="F475">
        <v>-5</v>
      </c>
      <c r="G475" t="s">
        <v>14</v>
      </c>
      <c r="H475" t="s">
        <v>15</v>
      </c>
      <c r="I475" t="s">
        <v>16</v>
      </c>
      <c r="J475" t="str">
        <f>TEXT(Data[[#This Row],[Date]],"mmm")</f>
        <v>Oct</v>
      </c>
      <c r="K475">
        <f>MONTH(Data[[#This Row],[Date]])</f>
        <v>10</v>
      </c>
      <c r="L475">
        <f>IF(Data[[#This Row],[Category Type]]="Income",Data[[#This Row],[Amount]],0)</f>
        <v>0</v>
      </c>
      <c r="M475">
        <f>IF(Data[[#This Row],[Category Type]]="Expense",-Data[[#This Row],[Amount]],0)</f>
        <v>5</v>
      </c>
    </row>
    <row r="476" spans="1:13" x14ac:dyDescent="0.25">
      <c r="A476" t="s">
        <v>4</v>
      </c>
      <c r="B476" s="1">
        <v>44497</v>
      </c>
      <c r="C476" t="s">
        <v>13</v>
      </c>
      <c r="D476">
        <v>5</v>
      </c>
      <c r="E476">
        <v>0</v>
      </c>
      <c r="F476">
        <v>-5</v>
      </c>
      <c r="G476" t="s">
        <v>14</v>
      </c>
      <c r="H476" t="s">
        <v>15</v>
      </c>
      <c r="I476" t="s">
        <v>16</v>
      </c>
      <c r="J476" t="str">
        <f>TEXT(Data[[#This Row],[Date]],"mmm")</f>
        <v>Oct</v>
      </c>
      <c r="K476">
        <f>MONTH(Data[[#This Row],[Date]])</f>
        <v>10</v>
      </c>
      <c r="L476">
        <f>IF(Data[[#This Row],[Category Type]]="Income",Data[[#This Row],[Amount]],0)</f>
        <v>0</v>
      </c>
      <c r="M476">
        <f>IF(Data[[#This Row],[Category Type]]="Expense",-Data[[#This Row],[Amount]],0)</f>
        <v>5</v>
      </c>
    </row>
    <row r="477" spans="1:13" x14ac:dyDescent="0.25">
      <c r="A477" t="s">
        <v>4</v>
      </c>
      <c r="B477" s="1">
        <v>44498</v>
      </c>
      <c r="C477" t="s">
        <v>13</v>
      </c>
      <c r="D477">
        <v>5</v>
      </c>
      <c r="E477">
        <v>0</v>
      </c>
      <c r="F477">
        <v>-5</v>
      </c>
      <c r="G477" t="s">
        <v>14</v>
      </c>
      <c r="H477" t="s">
        <v>15</v>
      </c>
      <c r="I477" t="s">
        <v>16</v>
      </c>
      <c r="J477" t="str">
        <f>TEXT(Data[[#This Row],[Date]],"mmm")</f>
        <v>Oct</v>
      </c>
      <c r="K477">
        <f>MONTH(Data[[#This Row],[Date]])</f>
        <v>10</v>
      </c>
      <c r="L477">
        <f>IF(Data[[#This Row],[Category Type]]="Income",Data[[#This Row],[Amount]],0)</f>
        <v>0</v>
      </c>
      <c r="M477">
        <f>IF(Data[[#This Row],[Category Type]]="Expense",-Data[[#This Row],[Amount]],0)</f>
        <v>5</v>
      </c>
    </row>
    <row r="478" spans="1:13" x14ac:dyDescent="0.25">
      <c r="A478" t="s">
        <v>4</v>
      </c>
      <c r="B478" s="1">
        <v>44498</v>
      </c>
      <c r="C478" t="s">
        <v>23</v>
      </c>
      <c r="D478">
        <v>189</v>
      </c>
      <c r="E478">
        <v>0</v>
      </c>
      <c r="F478">
        <v>-189</v>
      </c>
      <c r="G478" t="s">
        <v>24</v>
      </c>
      <c r="H478" t="s">
        <v>19</v>
      </c>
      <c r="I478" t="s">
        <v>16</v>
      </c>
      <c r="J478" t="str">
        <f>TEXT(Data[[#This Row],[Date]],"mmm")</f>
        <v>Oct</v>
      </c>
      <c r="K478">
        <f>MONTH(Data[[#This Row],[Date]])</f>
        <v>10</v>
      </c>
      <c r="L478">
        <f>IF(Data[[#This Row],[Category Type]]="Income",Data[[#This Row],[Amount]],0)</f>
        <v>0</v>
      </c>
      <c r="M478">
        <f>IF(Data[[#This Row],[Category Type]]="Expense",-Data[[#This Row],[Amount]],0)</f>
        <v>189</v>
      </c>
    </row>
    <row r="479" spans="1:13" x14ac:dyDescent="0.25">
      <c r="A479" t="s">
        <v>4</v>
      </c>
      <c r="B479" s="1">
        <v>44499</v>
      </c>
      <c r="C479" t="s">
        <v>52</v>
      </c>
      <c r="D479">
        <v>133.80000000000001</v>
      </c>
      <c r="E479">
        <v>0</v>
      </c>
      <c r="F479">
        <v>-133.80000000000001</v>
      </c>
      <c r="G479" t="s">
        <v>32</v>
      </c>
      <c r="H479" t="s">
        <v>30</v>
      </c>
      <c r="I479" t="s">
        <v>16</v>
      </c>
      <c r="J479" t="str">
        <f>TEXT(Data[[#This Row],[Date]],"mmm")</f>
        <v>Oct</v>
      </c>
      <c r="K479">
        <f>MONTH(Data[[#This Row],[Date]])</f>
        <v>10</v>
      </c>
      <c r="L479">
        <f>IF(Data[[#This Row],[Category Type]]="Income",Data[[#This Row],[Amount]],0)</f>
        <v>0</v>
      </c>
      <c r="M479">
        <f>IF(Data[[#This Row],[Category Type]]="Expense",-Data[[#This Row],[Amount]],0)</f>
        <v>133.80000000000001</v>
      </c>
    </row>
    <row r="480" spans="1:13" x14ac:dyDescent="0.25">
      <c r="A480" t="s">
        <v>4</v>
      </c>
      <c r="B480" s="1">
        <v>44499</v>
      </c>
      <c r="C480" t="s">
        <v>53</v>
      </c>
      <c r="D480">
        <v>184.39999999999998</v>
      </c>
      <c r="E480">
        <v>0</v>
      </c>
      <c r="F480">
        <v>-184.39999999999998</v>
      </c>
      <c r="G480" t="s">
        <v>21</v>
      </c>
      <c r="H480" t="s">
        <v>30</v>
      </c>
      <c r="I480" t="s">
        <v>16</v>
      </c>
      <c r="J480" t="str">
        <f>TEXT(Data[[#This Row],[Date]],"mmm")</f>
        <v>Oct</v>
      </c>
      <c r="K480">
        <f>MONTH(Data[[#This Row],[Date]])</f>
        <v>10</v>
      </c>
      <c r="L480">
        <f>IF(Data[[#This Row],[Category Type]]="Income",Data[[#This Row],[Amount]],0)</f>
        <v>0</v>
      </c>
      <c r="M480">
        <f>IF(Data[[#This Row],[Category Type]]="Expense",-Data[[#This Row],[Amount]],0)</f>
        <v>184.39999999999998</v>
      </c>
    </row>
    <row r="481" spans="1:13" x14ac:dyDescent="0.25">
      <c r="A481" t="s">
        <v>4</v>
      </c>
      <c r="B481" s="1">
        <v>44500</v>
      </c>
      <c r="C481" t="s">
        <v>31</v>
      </c>
      <c r="D481">
        <v>154.49999999999997</v>
      </c>
      <c r="E481">
        <v>0</v>
      </c>
      <c r="F481">
        <v>-154.49999999999997</v>
      </c>
      <c r="G481" t="s">
        <v>32</v>
      </c>
      <c r="H481" t="s">
        <v>30</v>
      </c>
      <c r="I481" t="s">
        <v>16</v>
      </c>
      <c r="J481" t="str">
        <f>TEXT(Data[[#This Row],[Date]],"mmm")</f>
        <v>Oct</v>
      </c>
      <c r="K481">
        <f>MONTH(Data[[#This Row],[Date]])</f>
        <v>10</v>
      </c>
      <c r="L481">
        <f>IF(Data[[#This Row],[Category Type]]="Income",Data[[#This Row],[Amount]],0)</f>
        <v>0</v>
      </c>
      <c r="M481">
        <f>IF(Data[[#This Row],[Category Type]]="Expense",-Data[[#This Row],[Amount]],0)</f>
        <v>154.49999999999997</v>
      </c>
    </row>
    <row r="482" spans="1:13" x14ac:dyDescent="0.25">
      <c r="A482" t="s">
        <v>4</v>
      </c>
      <c r="B482" s="1">
        <v>44500</v>
      </c>
      <c r="C482" t="s">
        <v>35</v>
      </c>
      <c r="D482">
        <v>32.1</v>
      </c>
      <c r="E482">
        <v>0</v>
      </c>
      <c r="F482">
        <v>-32.1</v>
      </c>
      <c r="G482" t="s">
        <v>36</v>
      </c>
      <c r="H482" t="s">
        <v>22</v>
      </c>
      <c r="I482" t="s">
        <v>16</v>
      </c>
      <c r="J482" t="str">
        <f>TEXT(Data[[#This Row],[Date]],"mmm")</f>
        <v>Oct</v>
      </c>
      <c r="K482">
        <f>MONTH(Data[[#This Row],[Date]])</f>
        <v>10</v>
      </c>
      <c r="L482">
        <f>IF(Data[[#This Row],[Category Type]]="Income",Data[[#This Row],[Amount]],0)</f>
        <v>0</v>
      </c>
      <c r="M482">
        <f>IF(Data[[#This Row],[Category Type]]="Expense",-Data[[#This Row],[Amount]],0)</f>
        <v>32.1</v>
      </c>
    </row>
    <row r="483" spans="1:13" x14ac:dyDescent="0.25">
      <c r="A483" t="s">
        <v>4</v>
      </c>
      <c r="B483" s="1">
        <v>44500</v>
      </c>
      <c r="C483" t="s">
        <v>57</v>
      </c>
      <c r="D483">
        <v>15</v>
      </c>
      <c r="E483">
        <v>0</v>
      </c>
      <c r="F483">
        <v>-15</v>
      </c>
      <c r="G483" t="s">
        <v>34</v>
      </c>
      <c r="H483" t="s">
        <v>15</v>
      </c>
      <c r="I483" t="s">
        <v>16</v>
      </c>
      <c r="J483" t="str">
        <f>TEXT(Data[[#This Row],[Date]],"mmm")</f>
        <v>Oct</v>
      </c>
      <c r="K483">
        <f>MONTH(Data[[#This Row],[Date]])</f>
        <v>10</v>
      </c>
      <c r="L483">
        <f>IF(Data[[#This Row],[Category Type]]="Income",Data[[#This Row],[Amount]],0)</f>
        <v>0</v>
      </c>
      <c r="M483">
        <f>IF(Data[[#This Row],[Category Type]]="Expense",-Data[[#This Row],[Amount]],0)</f>
        <v>15</v>
      </c>
    </row>
    <row r="484" spans="1:13" x14ac:dyDescent="0.25">
      <c r="A484" t="s">
        <v>4</v>
      </c>
      <c r="B484" s="1">
        <v>44501</v>
      </c>
      <c r="C484" t="s">
        <v>13</v>
      </c>
      <c r="D484">
        <v>5</v>
      </c>
      <c r="E484">
        <v>0</v>
      </c>
      <c r="F484">
        <v>-5</v>
      </c>
      <c r="G484" t="s">
        <v>14</v>
      </c>
      <c r="H484" t="s">
        <v>15</v>
      </c>
      <c r="I484" t="s">
        <v>16</v>
      </c>
      <c r="J484" t="str">
        <f>TEXT(Data[[#This Row],[Date]],"mmm")</f>
        <v>Nov</v>
      </c>
      <c r="K484">
        <f>MONTH(Data[[#This Row],[Date]])</f>
        <v>11</v>
      </c>
      <c r="L484">
        <f>IF(Data[[#This Row],[Category Type]]="Income",Data[[#This Row],[Amount]],0)</f>
        <v>0</v>
      </c>
      <c r="M484">
        <f>IF(Data[[#This Row],[Category Type]]="Expense",-Data[[#This Row],[Amount]],0)</f>
        <v>5</v>
      </c>
    </row>
    <row r="485" spans="1:13" x14ac:dyDescent="0.25">
      <c r="A485" t="s">
        <v>4</v>
      </c>
      <c r="B485" s="1">
        <v>44503</v>
      </c>
      <c r="C485" t="s">
        <v>13</v>
      </c>
      <c r="D485">
        <v>5</v>
      </c>
      <c r="E485">
        <v>0</v>
      </c>
      <c r="F485">
        <v>-5</v>
      </c>
      <c r="G485" t="s">
        <v>14</v>
      </c>
      <c r="H485" t="s">
        <v>15</v>
      </c>
      <c r="I485" t="s">
        <v>16</v>
      </c>
      <c r="J485" t="str">
        <f>TEXT(Data[[#This Row],[Date]],"mmm")</f>
        <v>Nov</v>
      </c>
      <c r="K485">
        <f>MONTH(Data[[#This Row],[Date]])</f>
        <v>11</v>
      </c>
      <c r="L485">
        <f>IF(Data[[#This Row],[Category Type]]="Income",Data[[#This Row],[Amount]],0)</f>
        <v>0</v>
      </c>
      <c r="M485">
        <f>IF(Data[[#This Row],[Category Type]]="Expense",-Data[[#This Row],[Amount]],0)</f>
        <v>5</v>
      </c>
    </row>
    <row r="486" spans="1:13" x14ac:dyDescent="0.25">
      <c r="A486" t="s">
        <v>9</v>
      </c>
      <c r="B486" s="1">
        <v>44503</v>
      </c>
      <c r="C486" t="s">
        <v>10</v>
      </c>
      <c r="D486">
        <v>0</v>
      </c>
      <c r="E486">
        <v>4000</v>
      </c>
      <c r="F486">
        <v>4000</v>
      </c>
      <c r="G486" t="s">
        <v>11</v>
      </c>
      <c r="H486" t="s">
        <v>11</v>
      </c>
      <c r="I486" t="s">
        <v>12</v>
      </c>
      <c r="J486" t="str">
        <f>TEXT(Data[[#This Row],[Date]],"mmm")</f>
        <v>Nov</v>
      </c>
      <c r="K486">
        <f>MONTH(Data[[#This Row],[Date]])</f>
        <v>11</v>
      </c>
      <c r="L486">
        <f>IF(Data[[#This Row],[Category Type]]="Income",Data[[#This Row],[Amount]],0)</f>
        <v>4000</v>
      </c>
      <c r="M486">
        <f>IF(Data[[#This Row],[Category Type]]="Expense",-Data[[#This Row],[Amount]],0)</f>
        <v>0</v>
      </c>
    </row>
    <row r="487" spans="1:13" x14ac:dyDescent="0.25">
      <c r="A487" t="s">
        <v>4</v>
      </c>
      <c r="B487" s="1">
        <v>44504</v>
      </c>
      <c r="C487" t="s">
        <v>13</v>
      </c>
      <c r="D487">
        <v>5</v>
      </c>
      <c r="E487">
        <v>0</v>
      </c>
      <c r="F487">
        <v>-5</v>
      </c>
      <c r="G487" t="s">
        <v>14</v>
      </c>
      <c r="H487" t="s">
        <v>15</v>
      </c>
      <c r="I487" t="s">
        <v>16</v>
      </c>
      <c r="J487" t="str">
        <f>TEXT(Data[[#This Row],[Date]],"mmm")</f>
        <v>Nov</v>
      </c>
      <c r="K487">
        <f>MONTH(Data[[#This Row],[Date]])</f>
        <v>11</v>
      </c>
      <c r="L487">
        <f>IF(Data[[#This Row],[Category Type]]="Income",Data[[#This Row],[Amount]],0)</f>
        <v>0</v>
      </c>
      <c r="M487">
        <f>IF(Data[[#This Row],[Category Type]]="Expense",-Data[[#This Row],[Amount]],0)</f>
        <v>5</v>
      </c>
    </row>
    <row r="488" spans="1:13" x14ac:dyDescent="0.25">
      <c r="A488" t="s">
        <v>9</v>
      </c>
      <c r="B488" s="1">
        <v>44506</v>
      </c>
      <c r="C488" t="s">
        <v>17</v>
      </c>
      <c r="D488">
        <v>927</v>
      </c>
      <c r="E488">
        <v>0</v>
      </c>
      <c r="F488">
        <v>-927</v>
      </c>
      <c r="G488" t="s">
        <v>18</v>
      </c>
      <c r="H488" t="s">
        <v>19</v>
      </c>
      <c r="I488" t="s">
        <v>16</v>
      </c>
      <c r="J488" t="str">
        <f>TEXT(Data[[#This Row],[Date]],"mmm")</f>
        <v>Nov</v>
      </c>
      <c r="K488">
        <f>MONTH(Data[[#This Row],[Date]])</f>
        <v>11</v>
      </c>
      <c r="L488">
        <f>IF(Data[[#This Row],[Category Type]]="Income",Data[[#This Row],[Amount]],0)</f>
        <v>0</v>
      </c>
      <c r="M488">
        <f>IF(Data[[#This Row],[Category Type]]="Expense",-Data[[#This Row],[Amount]],0)</f>
        <v>927</v>
      </c>
    </row>
    <row r="489" spans="1:13" x14ac:dyDescent="0.25">
      <c r="A489" t="s">
        <v>9</v>
      </c>
      <c r="B489" s="1">
        <v>44506</v>
      </c>
      <c r="C489" t="s">
        <v>20</v>
      </c>
      <c r="D489">
        <v>150</v>
      </c>
      <c r="E489">
        <v>0</v>
      </c>
      <c r="F489">
        <v>-150</v>
      </c>
      <c r="G489" t="s">
        <v>21</v>
      </c>
      <c r="H489" t="s">
        <v>22</v>
      </c>
      <c r="I489" t="s">
        <v>16</v>
      </c>
      <c r="J489" t="str">
        <f>TEXT(Data[[#This Row],[Date]],"mmm")</f>
        <v>Nov</v>
      </c>
      <c r="K489">
        <f>MONTH(Data[[#This Row],[Date]])</f>
        <v>11</v>
      </c>
      <c r="L489">
        <f>IF(Data[[#This Row],[Category Type]]="Income",Data[[#This Row],[Amount]],0)</f>
        <v>0</v>
      </c>
      <c r="M489">
        <f>IF(Data[[#This Row],[Category Type]]="Expense",-Data[[#This Row],[Amount]],0)</f>
        <v>150</v>
      </c>
    </row>
    <row r="490" spans="1:13" x14ac:dyDescent="0.25">
      <c r="A490" t="s">
        <v>4</v>
      </c>
      <c r="B490" s="1">
        <v>44506</v>
      </c>
      <c r="C490" t="s">
        <v>13</v>
      </c>
      <c r="D490">
        <v>5</v>
      </c>
      <c r="E490">
        <v>0</v>
      </c>
      <c r="F490">
        <v>-5</v>
      </c>
      <c r="G490" t="s">
        <v>14</v>
      </c>
      <c r="H490" t="s">
        <v>15</v>
      </c>
      <c r="I490" t="s">
        <v>16</v>
      </c>
      <c r="J490" t="str">
        <f>TEXT(Data[[#This Row],[Date]],"mmm")</f>
        <v>Nov</v>
      </c>
      <c r="K490">
        <f>MONTH(Data[[#This Row],[Date]])</f>
        <v>11</v>
      </c>
      <c r="L490">
        <f>IF(Data[[#This Row],[Category Type]]="Income",Data[[#This Row],[Amount]],0)</f>
        <v>0</v>
      </c>
      <c r="M490">
        <f>IF(Data[[#This Row],[Category Type]]="Expense",-Data[[#This Row],[Amount]],0)</f>
        <v>5</v>
      </c>
    </row>
    <row r="491" spans="1:13" x14ac:dyDescent="0.25">
      <c r="A491" t="s">
        <v>4</v>
      </c>
      <c r="B491" s="1">
        <v>44507</v>
      </c>
      <c r="C491" t="s">
        <v>13</v>
      </c>
      <c r="D491">
        <v>5</v>
      </c>
      <c r="E491">
        <v>0</v>
      </c>
      <c r="F491">
        <v>-5</v>
      </c>
      <c r="G491" t="s">
        <v>14</v>
      </c>
      <c r="H491" t="s">
        <v>15</v>
      </c>
      <c r="I491" t="s">
        <v>16</v>
      </c>
      <c r="J491" t="str">
        <f>TEXT(Data[[#This Row],[Date]],"mmm")</f>
        <v>Nov</v>
      </c>
      <c r="K491">
        <f>MONTH(Data[[#This Row],[Date]])</f>
        <v>11</v>
      </c>
      <c r="L491">
        <f>IF(Data[[#This Row],[Category Type]]="Income",Data[[#This Row],[Amount]],0)</f>
        <v>0</v>
      </c>
      <c r="M491">
        <f>IF(Data[[#This Row],[Category Type]]="Expense",-Data[[#This Row],[Amount]],0)</f>
        <v>5</v>
      </c>
    </row>
    <row r="492" spans="1:13" x14ac:dyDescent="0.25">
      <c r="A492" t="s">
        <v>4</v>
      </c>
      <c r="B492" s="1">
        <v>44508</v>
      </c>
      <c r="C492" t="s">
        <v>13</v>
      </c>
      <c r="D492">
        <v>5</v>
      </c>
      <c r="E492">
        <v>0</v>
      </c>
      <c r="F492">
        <v>-5</v>
      </c>
      <c r="G492" t="s">
        <v>14</v>
      </c>
      <c r="H492" t="s">
        <v>15</v>
      </c>
      <c r="I492" t="s">
        <v>16</v>
      </c>
      <c r="J492" t="str">
        <f>TEXT(Data[[#This Row],[Date]],"mmm")</f>
        <v>Nov</v>
      </c>
      <c r="K492">
        <f>MONTH(Data[[#This Row],[Date]])</f>
        <v>11</v>
      </c>
      <c r="L492">
        <f>IF(Data[[#This Row],[Category Type]]="Income",Data[[#This Row],[Amount]],0)</f>
        <v>0</v>
      </c>
      <c r="M492">
        <f>IF(Data[[#This Row],[Category Type]]="Expense",-Data[[#This Row],[Amount]],0)</f>
        <v>5</v>
      </c>
    </row>
    <row r="493" spans="1:13" x14ac:dyDescent="0.25">
      <c r="A493" t="s">
        <v>4</v>
      </c>
      <c r="B493" s="1">
        <v>44508</v>
      </c>
      <c r="C493" t="s">
        <v>23</v>
      </c>
      <c r="D493">
        <v>160</v>
      </c>
      <c r="E493">
        <v>0</v>
      </c>
      <c r="F493">
        <v>-160</v>
      </c>
      <c r="G493" t="s">
        <v>24</v>
      </c>
      <c r="H493" t="s">
        <v>19</v>
      </c>
      <c r="I493" t="s">
        <v>16</v>
      </c>
      <c r="J493" t="str">
        <f>TEXT(Data[[#This Row],[Date]],"mmm")</f>
        <v>Nov</v>
      </c>
      <c r="K493">
        <f>MONTH(Data[[#This Row],[Date]])</f>
        <v>11</v>
      </c>
      <c r="L493">
        <f>IF(Data[[#This Row],[Category Type]]="Income",Data[[#This Row],[Amount]],0)</f>
        <v>0</v>
      </c>
      <c r="M493">
        <f>IF(Data[[#This Row],[Category Type]]="Expense",-Data[[#This Row],[Amount]],0)</f>
        <v>160</v>
      </c>
    </row>
    <row r="494" spans="1:13" x14ac:dyDescent="0.25">
      <c r="A494" t="s">
        <v>9</v>
      </c>
      <c r="B494" s="1">
        <v>44511</v>
      </c>
      <c r="C494" t="s">
        <v>25</v>
      </c>
      <c r="D494">
        <v>49</v>
      </c>
      <c r="E494">
        <v>0</v>
      </c>
      <c r="F494">
        <v>-49</v>
      </c>
      <c r="G494" t="s">
        <v>26</v>
      </c>
      <c r="H494" t="s">
        <v>19</v>
      </c>
      <c r="I494" t="s">
        <v>16</v>
      </c>
      <c r="J494" t="str">
        <f>TEXT(Data[[#This Row],[Date]],"mmm")</f>
        <v>Nov</v>
      </c>
      <c r="K494">
        <f>MONTH(Data[[#This Row],[Date]])</f>
        <v>11</v>
      </c>
      <c r="L494">
        <f>IF(Data[[#This Row],[Category Type]]="Income",Data[[#This Row],[Amount]],0)</f>
        <v>0</v>
      </c>
      <c r="M494">
        <f>IF(Data[[#This Row],[Category Type]]="Expense",-Data[[#This Row],[Amount]],0)</f>
        <v>49</v>
      </c>
    </row>
    <row r="495" spans="1:13" x14ac:dyDescent="0.25">
      <c r="A495" t="s">
        <v>4</v>
      </c>
      <c r="B495" s="1">
        <v>44511</v>
      </c>
      <c r="C495" t="s">
        <v>13</v>
      </c>
      <c r="D495">
        <v>5</v>
      </c>
      <c r="E495">
        <v>0</v>
      </c>
      <c r="F495">
        <v>-5</v>
      </c>
      <c r="G495" t="s">
        <v>14</v>
      </c>
      <c r="H495" t="s">
        <v>15</v>
      </c>
      <c r="I495" t="s">
        <v>16</v>
      </c>
      <c r="J495" t="str">
        <f>TEXT(Data[[#This Row],[Date]],"mmm")</f>
        <v>Nov</v>
      </c>
      <c r="K495">
        <f>MONTH(Data[[#This Row],[Date]])</f>
        <v>11</v>
      </c>
      <c r="L495">
        <f>IF(Data[[#This Row],[Category Type]]="Income",Data[[#This Row],[Amount]],0)</f>
        <v>0</v>
      </c>
      <c r="M495">
        <f>IF(Data[[#This Row],[Category Type]]="Expense",-Data[[#This Row],[Amount]],0)</f>
        <v>5</v>
      </c>
    </row>
    <row r="496" spans="1:13" x14ac:dyDescent="0.25">
      <c r="A496" t="s">
        <v>4</v>
      </c>
      <c r="B496" s="1">
        <v>44512</v>
      </c>
      <c r="C496" t="s">
        <v>13</v>
      </c>
      <c r="D496">
        <v>5</v>
      </c>
      <c r="E496">
        <v>0</v>
      </c>
      <c r="F496">
        <v>-5</v>
      </c>
      <c r="G496" t="s">
        <v>14</v>
      </c>
      <c r="H496" t="s">
        <v>15</v>
      </c>
      <c r="I496" t="s">
        <v>16</v>
      </c>
      <c r="J496" t="str">
        <f>TEXT(Data[[#This Row],[Date]],"mmm")</f>
        <v>Nov</v>
      </c>
      <c r="K496">
        <f>MONTH(Data[[#This Row],[Date]])</f>
        <v>11</v>
      </c>
      <c r="L496">
        <f>IF(Data[[#This Row],[Category Type]]="Income",Data[[#This Row],[Amount]],0)</f>
        <v>0</v>
      </c>
      <c r="M496">
        <f>IF(Data[[#This Row],[Category Type]]="Expense",-Data[[#This Row],[Amount]],0)</f>
        <v>5</v>
      </c>
    </row>
    <row r="497" spans="1:13" x14ac:dyDescent="0.25">
      <c r="A497" t="s">
        <v>4</v>
      </c>
      <c r="B497" s="1">
        <v>44513</v>
      </c>
      <c r="C497" t="s">
        <v>27</v>
      </c>
      <c r="D497">
        <v>94</v>
      </c>
      <c r="E497">
        <v>0</v>
      </c>
      <c r="F497">
        <v>-94</v>
      </c>
      <c r="G497" t="s">
        <v>28</v>
      </c>
      <c r="H497" t="s">
        <v>22</v>
      </c>
      <c r="I497" t="s">
        <v>16</v>
      </c>
      <c r="J497" t="str">
        <f>TEXT(Data[[#This Row],[Date]],"mmm")</f>
        <v>Nov</v>
      </c>
      <c r="K497">
        <f>MONTH(Data[[#This Row],[Date]])</f>
        <v>11</v>
      </c>
      <c r="L497">
        <f>IF(Data[[#This Row],[Category Type]]="Income",Data[[#This Row],[Amount]],0)</f>
        <v>0</v>
      </c>
      <c r="M497">
        <f>IF(Data[[#This Row],[Category Type]]="Expense",-Data[[#This Row],[Amount]],0)</f>
        <v>94</v>
      </c>
    </row>
    <row r="498" spans="1:13" x14ac:dyDescent="0.25">
      <c r="A498" t="s">
        <v>4</v>
      </c>
      <c r="B498" s="1">
        <v>44513</v>
      </c>
      <c r="C498" t="s">
        <v>13</v>
      </c>
      <c r="D498">
        <v>5</v>
      </c>
      <c r="E498">
        <v>0</v>
      </c>
      <c r="F498">
        <v>-5</v>
      </c>
      <c r="G498" t="s">
        <v>14</v>
      </c>
      <c r="H498" t="s">
        <v>15</v>
      </c>
      <c r="I498" t="s">
        <v>16</v>
      </c>
      <c r="J498" t="str">
        <f>TEXT(Data[[#This Row],[Date]],"mmm")</f>
        <v>Nov</v>
      </c>
      <c r="K498">
        <f>MONTH(Data[[#This Row],[Date]])</f>
        <v>11</v>
      </c>
      <c r="L498">
        <f>IF(Data[[#This Row],[Category Type]]="Income",Data[[#This Row],[Amount]],0)</f>
        <v>0</v>
      </c>
      <c r="M498">
        <f>IF(Data[[#This Row],[Category Type]]="Expense",-Data[[#This Row],[Amount]],0)</f>
        <v>5</v>
      </c>
    </row>
    <row r="499" spans="1:13" x14ac:dyDescent="0.25">
      <c r="A499" t="s">
        <v>4</v>
      </c>
      <c r="B499" s="1">
        <v>44514</v>
      </c>
      <c r="C499" t="s">
        <v>13</v>
      </c>
      <c r="D499">
        <v>5</v>
      </c>
      <c r="E499">
        <v>0</v>
      </c>
      <c r="F499">
        <v>-5</v>
      </c>
      <c r="G499" t="s">
        <v>14</v>
      </c>
      <c r="H499" t="s">
        <v>15</v>
      </c>
      <c r="I499" t="s">
        <v>16</v>
      </c>
      <c r="J499" t="str">
        <f>TEXT(Data[[#This Row],[Date]],"mmm")</f>
        <v>Nov</v>
      </c>
      <c r="K499">
        <f>MONTH(Data[[#This Row],[Date]])</f>
        <v>11</v>
      </c>
      <c r="L499">
        <f>IF(Data[[#This Row],[Category Type]]="Income",Data[[#This Row],[Amount]],0)</f>
        <v>0</v>
      </c>
      <c r="M499">
        <f>IF(Data[[#This Row],[Category Type]]="Expense",-Data[[#This Row],[Amount]],0)</f>
        <v>5</v>
      </c>
    </row>
    <row r="500" spans="1:13" x14ac:dyDescent="0.25">
      <c r="A500" t="s">
        <v>4</v>
      </c>
      <c r="B500" s="1">
        <v>44515</v>
      </c>
      <c r="C500" t="s">
        <v>23</v>
      </c>
      <c r="D500">
        <v>133</v>
      </c>
      <c r="E500">
        <v>0</v>
      </c>
      <c r="F500">
        <v>-133</v>
      </c>
      <c r="G500" t="s">
        <v>24</v>
      </c>
      <c r="H500" t="s">
        <v>19</v>
      </c>
      <c r="I500" t="s">
        <v>16</v>
      </c>
      <c r="J500" t="str">
        <f>TEXT(Data[[#This Row],[Date]],"mmm")</f>
        <v>Nov</v>
      </c>
      <c r="K500">
        <f>MONTH(Data[[#This Row],[Date]])</f>
        <v>11</v>
      </c>
      <c r="L500">
        <f>IF(Data[[#This Row],[Category Type]]="Income",Data[[#This Row],[Amount]],0)</f>
        <v>0</v>
      </c>
      <c r="M500">
        <f>IF(Data[[#This Row],[Category Type]]="Expense",-Data[[#This Row],[Amount]],0)</f>
        <v>133</v>
      </c>
    </row>
    <row r="501" spans="1:13" x14ac:dyDescent="0.25">
      <c r="A501" t="s">
        <v>4</v>
      </c>
      <c r="B501" s="1">
        <v>44515</v>
      </c>
      <c r="C501" t="s">
        <v>13</v>
      </c>
      <c r="D501">
        <v>5</v>
      </c>
      <c r="E501">
        <v>0</v>
      </c>
      <c r="F501">
        <v>-5</v>
      </c>
      <c r="G501" t="s">
        <v>14</v>
      </c>
      <c r="H501" t="s">
        <v>15</v>
      </c>
      <c r="I501" t="s">
        <v>16</v>
      </c>
      <c r="J501" t="str">
        <f>TEXT(Data[[#This Row],[Date]],"mmm")</f>
        <v>Nov</v>
      </c>
      <c r="K501">
        <f>MONTH(Data[[#This Row],[Date]])</f>
        <v>11</v>
      </c>
      <c r="L501">
        <f>IF(Data[[#This Row],[Category Type]]="Income",Data[[#This Row],[Amount]],0)</f>
        <v>0</v>
      </c>
      <c r="M501">
        <f>IF(Data[[#This Row],[Category Type]]="Expense",-Data[[#This Row],[Amount]],0)</f>
        <v>5</v>
      </c>
    </row>
    <row r="502" spans="1:13" x14ac:dyDescent="0.25">
      <c r="A502" t="s">
        <v>4</v>
      </c>
      <c r="B502" s="1">
        <v>44516</v>
      </c>
      <c r="C502" t="s">
        <v>13</v>
      </c>
      <c r="D502">
        <v>5</v>
      </c>
      <c r="E502">
        <v>0</v>
      </c>
      <c r="F502">
        <v>-5</v>
      </c>
      <c r="G502" t="s">
        <v>14</v>
      </c>
      <c r="H502" t="s">
        <v>15</v>
      </c>
      <c r="I502" t="s">
        <v>16</v>
      </c>
      <c r="J502" t="str">
        <f>TEXT(Data[[#This Row],[Date]],"mmm")</f>
        <v>Nov</v>
      </c>
      <c r="K502">
        <f>MONTH(Data[[#This Row],[Date]])</f>
        <v>11</v>
      </c>
      <c r="L502">
        <f>IF(Data[[#This Row],[Category Type]]="Income",Data[[#This Row],[Amount]],0)</f>
        <v>0</v>
      </c>
      <c r="M502">
        <f>IF(Data[[#This Row],[Category Type]]="Expense",-Data[[#This Row],[Amount]],0)</f>
        <v>5</v>
      </c>
    </row>
    <row r="503" spans="1:13" x14ac:dyDescent="0.25">
      <c r="A503" t="s">
        <v>4</v>
      </c>
      <c r="B503" s="1">
        <v>44516</v>
      </c>
      <c r="C503" t="s">
        <v>29</v>
      </c>
      <c r="D503">
        <v>36</v>
      </c>
      <c r="E503">
        <v>0</v>
      </c>
      <c r="F503">
        <v>-36</v>
      </c>
      <c r="G503" t="s">
        <v>21</v>
      </c>
      <c r="H503" t="s">
        <v>30</v>
      </c>
      <c r="I503" t="s">
        <v>16</v>
      </c>
      <c r="J503" t="str">
        <f>TEXT(Data[[#This Row],[Date]],"mmm")</f>
        <v>Nov</v>
      </c>
      <c r="K503">
        <f>MONTH(Data[[#This Row],[Date]])</f>
        <v>11</v>
      </c>
      <c r="L503">
        <f>IF(Data[[#This Row],[Category Type]]="Income",Data[[#This Row],[Amount]],0)</f>
        <v>0</v>
      </c>
      <c r="M503">
        <f>IF(Data[[#This Row],[Category Type]]="Expense",-Data[[#This Row],[Amount]],0)</f>
        <v>36</v>
      </c>
    </row>
    <row r="504" spans="1:13" x14ac:dyDescent="0.25">
      <c r="A504" t="s">
        <v>4</v>
      </c>
      <c r="B504" s="1">
        <v>44516</v>
      </c>
      <c r="C504" t="s">
        <v>31</v>
      </c>
      <c r="D504">
        <v>74</v>
      </c>
      <c r="E504">
        <v>0</v>
      </c>
      <c r="F504">
        <v>-74</v>
      </c>
      <c r="G504" t="s">
        <v>32</v>
      </c>
      <c r="H504" t="s">
        <v>30</v>
      </c>
      <c r="I504" t="s">
        <v>16</v>
      </c>
      <c r="J504" t="str">
        <f>TEXT(Data[[#This Row],[Date]],"mmm")</f>
        <v>Nov</v>
      </c>
      <c r="K504">
        <f>MONTH(Data[[#This Row],[Date]])</f>
        <v>11</v>
      </c>
      <c r="L504">
        <f>IF(Data[[#This Row],[Category Type]]="Income",Data[[#This Row],[Amount]],0)</f>
        <v>0</v>
      </c>
      <c r="M504">
        <f>IF(Data[[#This Row],[Category Type]]="Expense",-Data[[#This Row],[Amount]],0)</f>
        <v>74</v>
      </c>
    </row>
    <row r="505" spans="1:13" x14ac:dyDescent="0.25">
      <c r="A505" t="s">
        <v>4</v>
      </c>
      <c r="B505" s="1">
        <v>44516</v>
      </c>
      <c r="C505" t="s">
        <v>33</v>
      </c>
      <c r="D505">
        <v>72</v>
      </c>
      <c r="E505">
        <v>0</v>
      </c>
      <c r="F505">
        <v>-72</v>
      </c>
      <c r="G505" t="s">
        <v>34</v>
      </c>
      <c r="H505" t="s">
        <v>15</v>
      </c>
      <c r="I505" t="s">
        <v>16</v>
      </c>
      <c r="J505" t="str">
        <f>TEXT(Data[[#This Row],[Date]],"mmm")</f>
        <v>Nov</v>
      </c>
      <c r="K505">
        <f>MONTH(Data[[#This Row],[Date]])</f>
        <v>11</v>
      </c>
      <c r="L505">
        <f>IF(Data[[#This Row],[Category Type]]="Income",Data[[#This Row],[Amount]],0)</f>
        <v>0</v>
      </c>
      <c r="M505">
        <f>IF(Data[[#This Row],[Category Type]]="Expense",-Data[[#This Row],[Amount]],0)</f>
        <v>72</v>
      </c>
    </row>
    <row r="506" spans="1:13" x14ac:dyDescent="0.25">
      <c r="A506" t="s">
        <v>4</v>
      </c>
      <c r="B506" s="1">
        <v>44517</v>
      </c>
      <c r="C506" t="s">
        <v>35</v>
      </c>
      <c r="D506">
        <v>28</v>
      </c>
      <c r="E506">
        <v>0</v>
      </c>
      <c r="F506">
        <v>-28</v>
      </c>
      <c r="G506" t="s">
        <v>36</v>
      </c>
      <c r="H506" t="s">
        <v>22</v>
      </c>
      <c r="I506" t="s">
        <v>16</v>
      </c>
      <c r="J506" t="str">
        <f>TEXT(Data[[#This Row],[Date]],"mmm")</f>
        <v>Nov</v>
      </c>
      <c r="K506">
        <f>MONTH(Data[[#This Row],[Date]])</f>
        <v>11</v>
      </c>
      <c r="L506">
        <f>IF(Data[[#This Row],[Category Type]]="Income",Data[[#This Row],[Amount]],0)</f>
        <v>0</v>
      </c>
      <c r="M506">
        <f>IF(Data[[#This Row],[Category Type]]="Expense",-Data[[#This Row],[Amount]],0)</f>
        <v>28</v>
      </c>
    </row>
    <row r="507" spans="1:13" x14ac:dyDescent="0.25">
      <c r="A507" t="s">
        <v>9</v>
      </c>
      <c r="B507" s="1">
        <v>44518</v>
      </c>
      <c r="C507" t="s">
        <v>37</v>
      </c>
      <c r="D507">
        <v>30</v>
      </c>
      <c r="E507">
        <v>0</v>
      </c>
      <c r="F507">
        <v>-30</v>
      </c>
      <c r="G507" t="s">
        <v>38</v>
      </c>
      <c r="H507" t="s">
        <v>30</v>
      </c>
      <c r="I507" t="s">
        <v>16</v>
      </c>
      <c r="J507" t="str">
        <f>TEXT(Data[[#This Row],[Date]],"mmm")</f>
        <v>Nov</v>
      </c>
      <c r="K507">
        <f>MONTH(Data[[#This Row],[Date]])</f>
        <v>11</v>
      </c>
      <c r="L507">
        <f>IF(Data[[#This Row],[Category Type]]="Income",Data[[#This Row],[Amount]],0)</f>
        <v>0</v>
      </c>
      <c r="M507">
        <f>IF(Data[[#This Row],[Category Type]]="Expense",-Data[[#This Row],[Amount]],0)</f>
        <v>30</v>
      </c>
    </row>
    <row r="508" spans="1:13" x14ac:dyDescent="0.25">
      <c r="A508" t="s">
        <v>4</v>
      </c>
      <c r="B508" s="1">
        <v>44518</v>
      </c>
      <c r="C508" t="s">
        <v>13</v>
      </c>
      <c r="D508">
        <v>5</v>
      </c>
      <c r="E508">
        <v>0</v>
      </c>
      <c r="F508">
        <v>-5</v>
      </c>
      <c r="G508" t="s">
        <v>14</v>
      </c>
      <c r="H508" t="s">
        <v>15</v>
      </c>
      <c r="I508" t="s">
        <v>16</v>
      </c>
      <c r="J508" t="str">
        <f>TEXT(Data[[#This Row],[Date]],"mmm")</f>
        <v>Nov</v>
      </c>
      <c r="K508">
        <f>MONTH(Data[[#This Row],[Date]])</f>
        <v>11</v>
      </c>
      <c r="L508">
        <f>IF(Data[[#This Row],[Category Type]]="Income",Data[[#This Row],[Amount]],0)</f>
        <v>0</v>
      </c>
      <c r="M508">
        <f>IF(Data[[#This Row],[Category Type]]="Expense",-Data[[#This Row],[Amount]],0)</f>
        <v>5</v>
      </c>
    </row>
    <row r="509" spans="1:13" x14ac:dyDescent="0.25">
      <c r="A509" t="s">
        <v>4</v>
      </c>
      <c r="B509" s="1">
        <v>44519</v>
      </c>
      <c r="C509" t="s">
        <v>13</v>
      </c>
      <c r="D509">
        <v>5</v>
      </c>
      <c r="E509">
        <v>0</v>
      </c>
      <c r="F509">
        <v>-5</v>
      </c>
      <c r="G509" t="s">
        <v>14</v>
      </c>
      <c r="H509" t="s">
        <v>15</v>
      </c>
      <c r="I509" t="s">
        <v>16</v>
      </c>
      <c r="J509" t="str">
        <f>TEXT(Data[[#This Row],[Date]],"mmm")</f>
        <v>Nov</v>
      </c>
      <c r="K509">
        <f>MONTH(Data[[#This Row],[Date]])</f>
        <v>11</v>
      </c>
      <c r="L509">
        <f>IF(Data[[#This Row],[Category Type]]="Income",Data[[#This Row],[Amount]],0)</f>
        <v>0</v>
      </c>
      <c r="M509">
        <f>IF(Data[[#This Row],[Category Type]]="Expense",-Data[[#This Row],[Amount]],0)</f>
        <v>5</v>
      </c>
    </row>
    <row r="510" spans="1:13" x14ac:dyDescent="0.25">
      <c r="A510" t="s">
        <v>9</v>
      </c>
      <c r="B510" s="1">
        <v>44519</v>
      </c>
      <c r="C510" t="s">
        <v>42</v>
      </c>
      <c r="D510">
        <v>40</v>
      </c>
      <c r="E510">
        <v>0</v>
      </c>
      <c r="F510">
        <v>-40</v>
      </c>
      <c r="G510" t="s">
        <v>43</v>
      </c>
      <c r="H510" t="s">
        <v>19</v>
      </c>
      <c r="I510" t="s">
        <v>16</v>
      </c>
      <c r="J510" t="str">
        <f>TEXT(Data[[#This Row],[Date]],"mmm")</f>
        <v>Nov</v>
      </c>
      <c r="K510">
        <f>MONTH(Data[[#This Row],[Date]])</f>
        <v>11</v>
      </c>
      <c r="L510">
        <f>IF(Data[[#This Row],[Category Type]]="Income",Data[[#This Row],[Amount]],0)</f>
        <v>0</v>
      </c>
      <c r="M510">
        <f>IF(Data[[#This Row],[Category Type]]="Expense",-Data[[#This Row],[Amount]],0)</f>
        <v>40</v>
      </c>
    </row>
    <row r="511" spans="1:13" x14ac:dyDescent="0.25">
      <c r="A511" t="s">
        <v>4</v>
      </c>
      <c r="B511" s="1">
        <v>44520</v>
      </c>
      <c r="C511" t="s">
        <v>46</v>
      </c>
      <c r="D511">
        <v>35</v>
      </c>
      <c r="E511">
        <v>0</v>
      </c>
      <c r="F511">
        <v>-35</v>
      </c>
      <c r="G511" t="s">
        <v>21</v>
      </c>
      <c r="H511" t="s">
        <v>30</v>
      </c>
      <c r="I511" t="s">
        <v>16</v>
      </c>
      <c r="J511" t="str">
        <f>TEXT(Data[[#This Row],[Date]],"mmm")</f>
        <v>Nov</v>
      </c>
      <c r="K511">
        <f>MONTH(Data[[#This Row],[Date]])</f>
        <v>11</v>
      </c>
      <c r="L511">
        <f>IF(Data[[#This Row],[Category Type]]="Income",Data[[#This Row],[Amount]],0)</f>
        <v>0</v>
      </c>
      <c r="M511">
        <f>IF(Data[[#This Row],[Category Type]]="Expense",-Data[[#This Row],[Amount]],0)</f>
        <v>35</v>
      </c>
    </row>
    <row r="512" spans="1:13" x14ac:dyDescent="0.25">
      <c r="A512" t="s">
        <v>4</v>
      </c>
      <c r="B512" s="1">
        <v>44520</v>
      </c>
      <c r="C512" t="s">
        <v>13</v>
      </c>
      <c r="D512">
        <v>5</v>
      </c>
      <c r="E512">
        <v>0</v>
      </c>
      <c r="F512">
        <v>-5</v>
      </c>
      <c r="G512" t="s">
        <v>14</v>
      </c>
      <c r="H512" t="s">
        <v>15</v>
      </c>
      <c r="I512" t="s">
        <v>16</v>
      </c>
      <c r="J512" t="str">
        <f>TEXT(Data[[#This Row],[Date]],"mmm")</f>
        <v>Nov</v>
      </c>
      <c r="K512">
        <f>MONTH(Data[[#This Row],[Date]])</f>
        <v>11</v>
      </c>
      <c r="L512">
        <f>IF(Data[[#This Row],[Category Type]]="Income",Data[[#This Row],[Amount]],0)</f>
        <v>0</v>
      </c>
      <c r="M512">
        <f>IF(Data[[#This Row],[Category Type]]="Expense",-Data[[#This Row],[Amount]],0)</f>
        <v>5</v>
      </c>
    </row>
    <row r="513" spans="1:13" x14ac:dyDescent="0.25">
      <c r="A513" t="s">
        <v>4</v>
      </c>
      <c r="B513" s="1">
        <v>44521</v>
      </c>
      <c r="C513" t="s">
        <v>13</v>
      </c>
      <c r="D513">
        <v>5</v>
      </c>
      <c r="E513">
        <v>0</v>
      </c>
      <c r="F513">
        <v>-5</v>
      </c>
      <c r="G513" t="s">
        <v>14</v>
      </c>
      <c r="H513" t="s">
        <v>15</v>
      </c>
      <c r="I513" t="s">
        <v>16</v>
      </c>
      <c r="J513" t="str">
        <f>TEXT(Data[[#This Row],[Date]],"mmm")</f>
        <v>Nov</v>
      </c>
      <c r="K513">
        <f>MONTH(Data[[#This Row],[Date]])</f>
        <v>11</v>
      </c>
      <c r="L513">
        <f>IF(Data[[#This Row],[Category Type]]="Income",Data[[#This Row],[Amount]],0)</f>
        <v>0</v>
      </c>
      <c r="M513">
        <f>IF(Data[[#This Row],[Category Type]]="Expense",-Data[[#This Row],[Amount]],0)</f>
        <v>5</v>
      </c>
    </row>
    <row r="514" spans="1:13" x14ac:dyDescent="0.25">
      <c r="A514" t="s">
        <v>4</v>
      </c>
      <c r="B514" s="1">
        <v>44522</v>
      </c>
      <c r="C514" t="s">
        <v>13</v>
      </c>
      <c r="D514">
        <v>5</v>
      </c>
      <c r="E514">
        <v>0</v>
      </c>
      <c r="F514">
        <v>-5</v>
      </c>
      <c r="G514" t="s">
        <v>14</v>
      </c>
      <c r="H514" t="s">
        <v>15</v>
      </c>
      <c r="I514" t="s">
        <v>16</v>
      </c>
      <c r="J514" t="str">
        <f>TEXT(Data[[#This Row],[Date]],"mmm")</f>
        <v>Nov</v>
      </c>
      <c r="K514">
        <f>MONTH(Data[[#This Row],[Date]])</f>
        <v>11</v>
      </c>
      <c r="L514">
        <f>IF(Data[[#This Row],[Category Type]]="Income",Data[[#This Row],[Amount]],0)</f>
        <v>0</v>
      </c>
      <c r="M514">
        <f>IF(Data[[#This Row],[Category Type]]="Expense",-Data[[#This Row],[Amount]],0)</f>
        <v>5</v>
      </c>
    </row>
    <row r="515" spans="1:13" x14ac:dyDescent="0.25">
      <c r="A515" t="s">
        <v>4</v>
      </c>
      <c r="B515" s="1">
        <v>44522</v>
      </c>
      <c r="C515" t="s">
        <v>23</v>
      </c>
      <c r="D515">
        <v>214</v>
      </c>
      <c r="E515">
        <v>0</v>
      </c>
      <c r="F515">
        <v>-214</v>
      </c>
      <c r="G515" t="s">
        <v>24</v>
      </c>
      <c r="H515" t="s">
        <v>19</v>
      </c>
      <c r="I515" t="s">
        <v>16</v>
      </c>
      <c r="J515" t="str">
        <f>TEXT(Data[[#This Row],[Date]],"mmm")</f>
        <v>Nov</v>
      </c>
      <c r="K515">
        <f>MONTH(Data[[#This Row],[Date]])</f>
        <v>11</v>
      </c>
      <c r="L515">
        <f>IF(Data[[#This Row],[Category Type]]="Income",Data[[#This Row],[Amount]],0)</f>
        <v>0</v>
      </c>
      <c r="M515">
        <f>IF(Data[[#This Row],[Category Type]]="Expense",-Data[[#This Row],[Amount]],0)</f>
        <v>214</v>
      </c>
    </row>
    <row r="516" spans="1:13" x14ac:dyDescent="0.25">
      <c r="A516" t="s">
        <v>4</v>
      </c>
      <c r="B516" s="1">
        <v>44523</v>
      </c>
      <c r="C516" t="s">
        <v>47</v>
      </c>
      <c r="D516">
        <v>59</v>
      </c>
      <c r="E516">
        <v>0</v>
      </c>
      <c r="F516">
        <v>-59</v>
      </c>
      <c r="G516" t="s">
        <v>34</v>
      </c>
      <c r="H516" t="s">
        <v>15</v>
      </c>
      <c r="I516" t="s">
        <v>16</v>
      </c>
      <c r="J516" t="str">
        <f>TEXT(Data[[#This Row],[Date]],"mmm")</f>
        <v>Nov</v>
      </c>
      <c r="K516">
        <f>MONTH(Data[[#This Row],[Date]])</f>
        <v>11</v>
      </c>
      <c r="L516">
        <f>IF(Data[[#This Row],[Category Type]]="Income",Data[[#This Row],[Amount]],0)</f>
        <v>0</v>
      </c>
      <c r="M516">
        <f>IF(Data[[#This Row],[Category Type]]="Expense",-Data[[#This Row],[Amount]],0)</f>
        <v>59</v>
      </c>
    </row>
    <row r="517" spans="1:13" x14ac:dyDescent="0.25">
      <c r="A517" t="s">
        <v>4</v>
      </c>
      <c r="B517" s="1">
        <v>44524</v>
      </c>
      <c r="C517" t="s">
        <v>48</v>
      </c>
      <c r="D517">
        <v>13</v>
      </c>
      <c r="E517">
        <v>0</v>
      </c>
      <c r="F517">
        <v>-13</v>
      </c>
      <c r="G517" t="s">
        <v>34</v>
      </c>
      <c r="H517" t="s">
        <v>15</v>
      </c>
      <c r="I517" t="s">
        <v>16</v>
      </c>
      <c r="J517" t="str">
        <f>TEXT(Data[[#This Row],[Date]],"mmm")</f>
        <v>Nov</v>
      </c>
      <c r="K517">
        <f>MONTH(Data[[#This Row],[Date]])</f>
        <v>11</v>
      </c>
      <c r="L517">
        <f>IF(Data[[#This Row],[Category Type]]="Income",Data[[#This Row],[Amount]],0)</f>
        <v>0</v>
      </c>
      <c r="M517">
        <f>IF(Data[[#This Row],[Category Type]]="Expense",-Data[[#This Row],[Amount]],0)</f>
        <v>13</v>
      </c>
    </row>
    <row r="518" spans="1:13" x14ac:dyDescent="0.25">
      <c r="A518" t="s">
        <v>9</v>
      </c>
      <c r="B518" s="1">
        <v>44525</v>
      </c>
      <c r="C518" t="s">
        <v>49</v>
      </c>
      <c r="D518">
        <v>55</v>
      </c>
      <c r="E518">
        <v>0</v>
      </c>
      <c r="F518">
        <v>-55</v>
      </c>
      <c r="G518" t="s">
        <v>50</v>
      </c>
      <c r="H518" t="s">
        <v>51</v>
      </c>
      <c r="I518" t="s">
        <v>16</v>
      </c>
      <c r="J518" t="str">
        <f>TEXT(Data[[#This Row],[Date]],"mmm")</f>
        <v>Nov</v>
      </c>
      <c r="K518">
        <f>MONTH(Data[[#This Row],[Date]])</f>
        <v>11</v>
      </c>
      <c r="L518">
        <f>IF(Data[[#This Row],[Category Type]]="Income",Data[[#This Row],[Amount]],0)</f>
        <v>0</v>
      </c>
      <c r="M518">
        <f>IF(Data[[#This Row],[Category Type]]="Expense",-Data[[#This Row],[Amount]],0)</f>
        <v>55</v>
      </c>
    </row>
    <row r="519" spans="1:13" x14ac:dyDescent="0.25">
      <c r="A519" t="s">
        <v>4</v>
      </c>
      <c r="B519" s="1">
        <v>44525</v>
      </c>
      <c r="C519" t="s">
        <v>27</v>
      </c>
      <c r="D519">
        <v>69</v>
      </c>
      <c r="E519">
        <v>0</v>
      </c>
      <c r="F519">
        <v>-69</v>
      </c>
      <c r="G519" t="s">
        <v>28</v>
      </c>
      <c r="H519" t="s">
        <v>22</v>
      </c>
      <c r="I519" t="s">
        <v>16</v>
      </c>
      <c r="J519" t="str">
        <f>TEXT(Data[[#This Row],[Date]],"mmm")</f>
        <v>Nov</v>
      </c>
      <c r="K519">
        <f>MONTH(Data[[#This Row],[Date]])</f>
        <v>11</v>
      </c>
      <c r="L519">
        <f>IF(Data[[#This Row],[Category Type]]="Income",Data[[#This Row],[Amount]],0)</f>
        <v>0</v>
      </c>
      <c r="M519">
        <f>IF(Data[[#This Row],[Category Type]]="Expense",-Data[[#This Row],[Amount]],0)</f>
        <v>69</v>
      </c>
    </row>
    <row r="520" spans="1:13" x14ac:dyDescent="0.25">
      <c r="A520" t="s">
        <v>4</v>
      </c>
      <c r="B520" s="1">
        <v>44525</v>
      </c>
      <c r="C520" t="s">
        <v>13</v>
      </c>
      <c r="D520">
        <v>5</v>
      </c>
      <c r="E520">
        <v>0</v>
      </c>
      <c r="F520">
        <v>-5</v>
      </c>
      <c r="G520" t="s">
        <v>14</v>
      </c>
      <c r="H520" t="s">
        <v>15</v>
      </c>
      <c r="I520" t="s">
        <v>16</v>
      </c>
      <c r="J520" t="str">
        <f>TEXT(Data[[#This Row],[Date]],"mmm")</f>
        <v>Nov</v>
      </c>
      <c r="K520">
        <f>MONTH(Data[[#This Row],[Date]])</f>
        <v>11</v>
      </c>
      <c r="L520">
        <f>IF(Data[[#This Row],[Category Type]]="Income",Data[[#This Row],[Amount]],0)</f>
        <v>0</v>
      </c>
      <c r="M520">
        <f>IF(Data[[#This Row],[Category Type]]="Expense",-Data[[#This Row],[Amount]],0)</f>
        <v>5</v>
      </c>
    </row>
    <row r="521" spans="1:13" x14ac:dyDescent="0.25">
      <c r="A521" t="s">
        <v>4</v>
      </c>
      <c r="B521" s="1">
        <v>44526</v>
      </c>
      <c r="C521" t="s">
        <v>13</v>
      </c>
      <c r="D521">
        <v>5</v>
      </c>
      <c r="E521">
        <v>0</v>
      </c>
      <c r="F521">
        <v>-5</v>
      </c>
      <c r="G521" t="s">
        <v>14</v>
      </c>
      <c r="H521" t="s">
        <v>15</v>
      </c>
      <c r="I521" t="s">
        <v>16</v>
      </c>
      <c r="J521" t="str">
        <f>TEXT(Data[[#This Row],[Date]],"mmm")</f>
        <v>Nov</v>
      </c>
      <c r="K521">
        <f>MONTH(Data[[#This Row],[Date]])</f>
        <v>11</v>
      </c>
      <c r="L521">
        <f>IF(Data[[#This Row],[Category Type]]="Income",Data[[#This Row],[Amount]],0)</f>
        <v>0</v>
      </c>
      <c r="M521">
        <f>IF(Data[[#This Row],[Category Type]]="Expense",-Data[[#This Row],[Amount]],0)</f>
        <v>5</v>
      </c>
    </row>
    <row r="522" spans="1:13" x14ac:dyDescent="0.25">
      <c r="A522" t="s">
        <v>4</v>
      </c>
      <c r="B522" s="1">
        <v>44527</v>
      </c>
      <c r="C522" t="s">
        <v>13</v>
      </c>
      <c r="D522">
        <v>5</v>
      </c>
      <c r="E522">
        <v>0</v>
      </c>
      <c r="F522">
        <v>-5</v>
      </c>
      <c r="G522" t="s">
        <v>14</v>
      </c>
      <c r="H522" t="s">
        <v>15</v>
      </c>
      <c r="I522" t="s">
        <v>16</v>
      </c>
      <c r="J522" t="str">
        <f>TEXT(Data[[#This Row],[Date]],"mmm")</f>
        <v>Nov</v>
      </c>
      <c r="K522">
        <f>MONTH(Data[[#This Row],[Date]])</f>
        <v>11</v>
      </c>
      <c r="L522">
        <f>IF(Data[[#This Row],[Category Type]]="Income",Data[[#This Row],[Amount]],0)</f>
        <v>0</v>
      </c>
      <c r="M522">
        <f>IF(Data[[#This Row],[Category Type]]="Expense",-Data[[#This Row],[Amount]],0)</f>
        <v>5</v>
      </c>
    </row>
    <row r="523" spans="1:13" x14ac:dyDescent="0.25">
      <c r="A523" t="s">
        <v>4</v>
      </c>
      <c r="B523" s="1">
        <v>44528</v>
      </c>
      <c r="C523" t="s">
        <v>13</v>
      </c>
      <c r="D523">
        <v>5</v>
      </c>
      <c r="E523">
        <v>0</v>
      </c>
      <c r="F523">
        <v>-5</v>
      </c>
      <c r="G523" t="s">
        <v>14</v>
      </c>
      <c r="H523" t="s">
        <v>15</v>
      </c>
      <c r="I523" t="s">
        <v>16</v>
      </c>
      <c r="J523" t="str">
        <f>TEXT(Data[[#This Row],[Date]],"mmm")</f>
        <v>Nov</v>
      </c>
      <c r="K523">
        <f>MONTH(Data[[#This Row],[Date]])</f>
        <v>11</v>
      </c>
      <c r="L523">
        <f>IF(Data[[#This Row],[Category Type]]="Income",Data[[#This Row],[Amount]],0)</f>
        <v>0</v>
      </c>
      <c r="M523">
        <f>IF(Data[[#This Row],[Category Type]]="Expense",-Data[[#This Row],[Amount]],0)</f>
        <v>5</v>
      </c>
    </row>
    <row r="524" spans="1:13" x14ac:dyDescent="0.25">
      <c r="A524" t="s">
        <v>4</v>
      </c>
      <c r="B524" s="1">
        <v>44529</v>
      </c>
      <c r="C524" t="s">
        <v>13</v>
      </c>
      <c r="D524">
        <v>5</v>
      </c>
      <c r="E524">
        <v>0</v>
      </c>
      <c r="F524">
        <v>-5</v>
      </c>
      <c r="G524" t="s">
        <v>14</v>
      </c>
      <c r="H524" t="s">
        <v>15</v>
      </c>
      <c r="I524" t="s">
        <v>16</v>
      </c>
      <c r="J524" t="str">
        <f>TEXT(Data[[#This Row],[Date]],"mmm")</f>
        <v>Nov</v>
      </c>
      <c r="K524">
        <f>MONTH(Data[[#This Row],[Date]])</f>
        <v>11</v>
      </c>
      <c r="L524">
        <f>IF(Data[[#This Row],[Category Type]]="Income",Data[[#This Row],[Amount]],0)</f>
        <v>0</v>
      </c>
      <c r="M524">
        <f>IF(Data[[#This Row],[Category Type]]="Expense",-Data[[#This Row],[Amount]],0)</f>
        <v>5</v>
      </c>
    </row>
    <row r="525" spans="1:13" x14ac:dyDescent="0.25">
      <c r="A525" t="s">
        <v>4</v>
      </c>
      <c r="B525" s="1">
        <v>44529</v>
      </c>
      <c r="C525" t="s">
        <v>23</v>
      </c>
      <c r="D525">
        <v>210</v>
      </c>
      <c r="E525">
        <v>0</v>
      </c>
      <c r="F525">
        <v>-210</v>
      </c>
      <c r="G525" t="s">
        <v>24</v>
      </c>
      <c r="H525" t="s">
        <v>19</v>
      </c>
      <c r="I525" t="s">
        <v>16</v>
      </c>
      <c r="J525" t="str">
        <f>TEXT(Data[[#This Row],[Date]],"mmm")</f>
        <v>Nov</v>
      </c>
      <c r="K525">
        <f>MONTH(Data[[#This Row],[Date]])</f>
        <v>11</v>
      </c>
      <c r="L525">
        <f>IF(Data[[#This Row],[Category Type]]="Income",Data[[#This Row],[Amount]],0)</f>
        <v>0</v>
      </c>
      <c r="M525">
        <f>IF(Data[[#This Row],[Category Type]]="Expense",-Data[[#This Row],[Amount]],0)</f>
        <v>210</v>
      </c>
    </row>
    <row r="526" spans="1:13" x14ac:dyDescent="0.25">
      <c r="A526" t="s">
        <v>4</v>
      </c>
      <c r="B526" s="1">
        <v>44530</v>
      </c>
      <c r="C526" t="s">
        <v>31</v>
      </c>
      <c r="D526">
        <v>239</v>
      </c>
      <c r="E526">
        <v>0</v>
      </c>
      <c r="F526">
        <v>-239</v>
      </c>
      <c r="G526" t="s">
        <v>32</v>
      </c>
      <c r="H526" t="s">
        <v>30</v>
      </c>
      <c r="I526" t="s">
        <v>16</v>
      </c>
      <c r="J526" t="str">
        <f>TEXT(Data[[#This Row],[Date]],"mmm")</f>
        <v>Nov</v>
      </c>
      <c r="K526">
        <f>MONTH(Data[[#This Row],[Date]])</f>
        <v>11</v>
      </c>
      <c r="L526">
        <f>IF(Data[[#This Row],[Category Type]]="Income",Data[[#This Row],[Amount]],0)</f>
        <v>0</v>
      </c>
      <c r="M526">
        <f>IF(Data[[#This Row],[Category Type]]="Expense",-Data[[#This Row],[Amount]],0)</f>
        <v>239</v>
      </c>
    </row>
    <row r="527" spans="1:13" x14ac:dyDescent="0.25">
      <c r="A527" t="s">
        <v>4</v>
      </c>
      <c r="B527" s="1">
        <v>44530</v>
      </c>
      <c r="C527" t="s">
        <v>35</v>
      </c>
      <c r="D527">
        <v>40</v>
      </c>
      <c r="E527">
        <v>0</v>
      </c>
      <c r="F527">
        <v>-40</v>
      </c>
      <c r="G527" t="s">
        <v>36</v>
      </c>
      <c r="H527" t="s">
        <v>22</v>
      </c>
      <c r="I527" t="s">
        <v>16</v>
      </c>
      <c r="J527" t="str">
        <f>TEXT(Data[[#This Row],[Date]],"mmm")</f>
        <v>Nov</v>
      </c>
      <c r="K527">
        <f>MONTH(Data[[#This Row],[Date]])</f>
        <v>11</v>
      </c>
      <c r="L527">
        <f>IF(Data[[#This Row],[Category Type]]="Income",Data[[#This Row],[Amount]],0)</f>
        <v>0</v>
      </c>
      <c r="M527">
        <f>IF(Data[[#This Row],[Category Type]]="Expense",-Data[[#This Row],[Amount]],0)</f>
        <v>40</v>
      </c>
    </row>
    <row r="528" spans="1:13" x14ac:dyDescent="0.25">
      <c r="A528" t="s">
        <v>4</v>
      </c>
      <c r="B528" s="1">
        <v>44530</v>
      </c>
      <c r="C528" t="s">
        <v>57</v>
      </c>
      <c r="D528">
        <v>30</v>
      </c>
      <c r="E528">
        <v>0</v>
      </c>
      <c r="F528">
        <v>-30</v>
      </c>
      <c r="G528" t="s">
        <v>34</v>
      </c>
      <c r="H528" t="s">
        <v>15</v>
      </c>
      <c r="I528" t="s">
        <v>16</v>
      </c>
      <c r="J528" t="str">
        <f>TEXT(Data[[#This Row],[Date]],"mmm")</f>
        <v>Nov</v>
      </c>
      <c r="K528">
        <f>MONTH(Data[[#This Row],[Date]])</f>
        <v>11</v>
      </c>
      <c r="L528">
        <f>IF(Data[[#This Row],[Category Type]]="Income",Data[[#This Row],[Amount]],0)</f>
        <v>0</v>
      </c>
      <c r="M528">
        <f>IF(Data[[#This Row],[Category Type]]="Expense",-Data[[#This Row],[Amount]],0)</f>
        <v>30</v>
      </c>
    </row>
    <row r="529" spans="1:13" x14ac:dyDescent="0.25">
      <c r="A529" t="s">
        <v>4</v>
      </c>
      <c r="B529" s="1">
        <v>44531</v>
      </c>
      <c r="C529" t="s">
        <v>13</v>
      </c>
      <c r="D529">
        <v>5</v>
      </c>
      <c r="E529">
        <v>0</v>
      </c>
      <c r="F529">
        <v>-5</v>
      </c>
      <c r="G529" t="s">
        <v>14</v>
      </c>
      <c r="H529" t="s">
        <v>15</v>
      </c>
      <c r="I529" t="s">
        <v>16</v>
      </c>
      <c r="J529" t="str">
        <f>TEXT(Data[[#This Row],[Date]],"mmm")</f>
        <v>Dec</v>
      </c>
      <c r="K529">
        <f>MONTH(Data[[#This Row],[Date]])</f>
        <v>12</v>
      </c>
      <c r="L529">
        <f>IF(Data[[#This Row],[Category Type]]="Income",Data[[#This Row],[Amount]],0)</f>
        <v>0</v>
      </c>
      <c r="M529">
        <f>IF(Data[[#This Row],[Category Type]]="Expense",-Data[[#This Row],[Amount]],0)</f>
        <v>5</v>
      </c>
    </row>
    <row r="530" spans="1:13" x14ac:dyDescent="0.25">
      <c r="A530" t="s">
        <v>4</v>
      </c>
      <c r="B530" s="1">
        <v>44532</v>
      </c>
      <c r="C530" t="s">
        <v>13</v>
      </c>
      <c r="D530">
        <v>5</v>
      </c>
      <c r="E530">
        <v>0</v>
      </c>
      <c r="F530">
        <v>-5</v>
      </c>
      <c r="G530" t="s">
        <v>14</v>
      </c>
      <c r="H530" t="s">
        <v>15</v>
      </c>
      <c r="I530" t="s">
        <v>16</v>
      </c>
      <c r="J530" t="str">
        <f>TEXT(Data[[#This Row],[Date]],"mmm")</f>
        <v>Dec</v>
      </c>
      <c r="K530">
        <f>MONTH(Data[[#This Row],[Date]])</f>
        <v>12</v>
      </c>
      <c r="L530">
        <f>IF(Data[[#This Row],[Category Type]]="Income",Data[[#This Row],[Amount]],0)</f>
        <v>0</v>
      </c>
      <c r="M530">
        <f>IF(Data[[#This Row],[Category Type]]="Expense",-Data[[#This Row],[Amount]],0)</f>
        <v>5</v>
      </c>
    </row>
    <row r="531" spans="1:13" x14ac:dyDescent="0.25">
      <c r="A531" t="s">
        <v>9</v>
      </c>
      <c r="B531" s="1">
        <v>44533</v>
      </c>
      <c r="C531" t="s">
        <v>10</v>
      </c>
      <c r="D531">
        <v>0</v>
      </c>
      <c r="E531">
        <v>4000</v>
      </c>
      <c r="F531">
        <v>4000</v>
      </c>
      <c r="G531" t="s">
        <v>11</v>
      </c>
      <c r="H531" t="s">
        <v>11</v>
      </c>
      <c r="I531" t="s">
        <v>12</v>
      </c>
      <c r="J531" t="str">
        <f>TEXT(Data[[#This Row],[Date]],"mmm")</f>
        <v>Dec</v>
      </c>
      <c r="K531">
        <f>MONTH(Data[[#This Row],[Date]])</f>
        <v>12</v>
      </c>
      <c r="L531">
        <f>IF(Data[[#This Row],[Category Type]]="Income",Data[[#This Row],[Amount]],0)</f>
        <v>4000</v>
      </c>
      <c r="M531">
        <f>IF(Data[[#This Row],[Category Type]]="Expense",-Data[[#This Row],[Amount]],0)</f>
        <v>0</v>
      </c>
    </row>
    <row r="532" spans="1:13" x14ac:dyDescent="0.25">
      <c r="A532" t="s">
        <v>4</v>
      </c>
      <c r="B532" s="1">
        <v>44534</v>
      </c>
      <c r="C532" t="s">
        <v>13</v>
      </c>
      <c r="D532">
        <v>5</v>
      </c>
      <c r="E532">
        <v>0</v>
      </c>
      <c r="F532">
        <v>-5</v>
      </c>
      <c r="G532" t="s">
        <v>14</v>
      </c>
      <c r="H532" t="s">
        <v>15</v>
      </c>
      <c r="I532" t="s">
        <v>16</v>
      </c>
      <c r="J532" t="str">
        <f>TEXT(Data[[#This Row],[Date]],"mmm")</f>
        <v>Dec</v>
      </c>
      <c r="K532">
        <f>MONTH(Data[[#This Row],[Date]])</f>
        <v>12</v>
      </c>
      <c r="L532">
        <f>IF(Data[[#This Row],[Category Type]]="Income",Data[[#This Row],[Amount]],0)</f>
        <v>0</v>
      </c>
      <c r="M532">
        <f>IF(Data[[#This Row],[Category Type]]="Expense",-Data[[#This Row],[Amount]],0)</f>
        <v>5</v>
      </c>
    </row>
    <row r="533" spans="1:13" x14ac:dyDescent="0.25">
      <c r="A533" t="s">
        <v>9</v>
      </c>
      <c r="B533" s="1">
        <v>44535</v>
      </c>
      <c r="C533" t="s">
        <v>17</v>
      </c>
      <c r="D533">
        <v>927</v>
      </c>
      <c r="E533">
        <v>0</v>
      </c>
      <c r="F533">
        <v>-927</v>
      </c>
      <c r="G533" t="s">
        <v>18</v>
      </c>
      <c r="H533" t="s">
        <v>19</v>
      </c>
      <c r="I533" t="s">
        <v>16</v>
      </c>
      <c r="J533" t="str">
        <f>TEXT(Data[[#This Row],[Date]],"mmm")</f>
        <v>Dec</v>
      </c>
      <c r="K533">
        <f>MONTH(Data[[#This Row],[Date]])</f>
        <v>12</v>
      </c>
      <c r="L533">
        <f>IF(Data[[#This Row],[Category Type]]="Income",Data[[#This Row],[Amount]],0)</f>
        <v>0</v>
      </c>
      <c r="M533">
        <f>IF(Data[[#This Row],[Category Type]]="Expense",-Data[[#This Row],[Amount]],0)</f>
        <v>927</v>
      </c>
    </row>
    <row r="534" spans="1:13" x14ac:dyDescent="0.25">
      <c r="A534" t="s">
        <v>9</v>
      </c>
      <c r="B534" s="1">
        <v>44536</v>
      </c>
      <c r="C534" t="s">
        <v>20</v>
      </c>
      <c r="D534">
        <v>150</v>
      </c>
      <c r="E534">
        <v>0</v>
      </c>
      <c r="F534">
        <v>-150</v>
      </c>
      <c r="G534" t="s">
        <v>21</v>
      </c>
      <c r="H534" t="s">
        <v>22</v>
      </c>
      <c r="I534" t="s">
        <v>16</v>
      </c>
      <c r="J534" t="str">
        <f>TEXT(Data[[#This Row],[Date]],"mmm")</f>
        <v>Dec</v>
      </c>
      <c r="K534">
        <f>MONTH(Data[[#This Row],[Date]])</f>
        <v>12</v>
      </c>
      <c r="L534">
        <f>IF(Data[[#This Row],[Category Type]]="Income",Data[[#This Row],[Amount]],0)</f>
        <v>0</v>
      </c>
      <c r="M534">
        <f>IF(Data[[#This Row],[Category Type]]="Expense",-Data[[#This Row],[Amount]],0)</f>
        <v>150</v>
      </c>
    </row>
    <row r="535" spans="1:13" x14ac:dyDescent="0.25">
      <c r="A535" t="s">
        <v>4</v>
      </c>
      <c r="B535" s="1">
        <v>44537</v>
      </c>
      <c r="C535" t="s">
        <v>13</v>
      </c>
      <c r="D535">
        <v>5</v>
      </c>
      <c r="E535">
        <v>0</v>
      </c>
      <c r="F535">
        <v>-5</v>
      </c>
      <c r="G535" t="s">
        <v>14</v>
      </c>
      <c r="H535" t="s">
        <v>15</v>
      </c>
      <c r="I535" t="s">
        <v>16</v>
      </c>
      <c r="J535" t="str">
        <f>TEXT(Data[[#This Row],[Date]],"mmm")</f>
        <v>Dec</v>
      </c>
      <c r="K535">
        <f>MONTH(Data[[#This Row],[Date]])</f>
        <v>12</v>
      </c>
      <c r="L535">
        <f>IF(Data[[#This Row],[Category Type]]="Income",Data[[#This Row],[Amount]],0)</f>
        <v>0</v>
      </c>
      <c r="M535">
        <f>IF(Data[[#This Row],[Category Type]]="Expense",-Data[[#This Row],[Amount]],0)</f>
        <v>5</v>
      </c>
    </row>
    <row r="536" spans="1:13" x14ac:dyDescent="0.25">
      <c r="A536" t="s">
        <v>4</v>
      </c>
      <c r="B536" s="1">
        <v>44538</v>
      </c>
      <c r="C536" t="s">
        <v>13</v>
      </c>
      <c r="D536">
        <v>5</v>
      </c>
      <c r="E536">
        <v>0</v>
      </c>
      <c r="F536">
        <v>-5</v>
      </c>
      <c r="G536" t="s">
        <v>14</v>
      </c>
      <c r="H536" t="s">
        <v>15</v>
      </c>
      <c r="I536" t="s">
        <v>16</v>
      </c>
      <c r="J536" t="str">
        <f>TEXT(Data[[#This Row],[Date]],"mmm")</f>
        <v>Dec</v>
      </c>
      <c r="K536">
        <f>MONTH(Data[[#This Row],[Date]])</f>
        <v>12</v>
      </c>
      <c r="L536">
        <f>IF(Data[[#This Row],[Category Type]]="Income",Data[[#This Row],[Amount]],0)</f>
        <v>0</v>
      </c>
      <c r="M536">
        <f>IF(Data[[#This Row],[Category Type]]="Expense",-Data[[#This Row],[Amount]],0)</f>
        <v>5</v>
      </c>
    </row>
    <row r="537" spans="1:13" x14ac:dyDescent="0.25">
      <c r="A537" t="s">
        <v>4</v>
      </c>
      <c r="B537" s="1">
        <v>44539</v>
      </c>
      <c r="C537" t="s">
        <v>13</v>
      </c>
      <c r="D537">
        <v>5</v>
      </c>
      <c r="E537">
        <v>0</v>
      </c>
      <c r="F537">
        <v>-5</v>
      </c>
      <c r="G537" t="s">
        <v>14</v>
      </c>
      <c r="H537" t="s">
        <v>15</v>
      </c>
      <c r="I537" t="s">
        <v>16</v>
      </c>
      <c r="J537" t="str">
        <f>TEXT(Data[[#This Row],[Date]],"mmm")</f>
        <v>Dec</v>
      </c>
      <c r="K537">
        <f>MONTH(Data[[#This Row],[Date]])</f>
        <v>12</v>
      </c>
      <c r="L537">
        <f>IF(Data[[#This Row],[Category Type]]="Income",Data[[#This Row],[Amount]],0)</f>
        <v>0</v>
      </c>
      <c r="M537">
        <f>IF(Data[[#This Row],[Category Type]]="Expense",-Data[[#This Row],[Amount]],0)</f>
        <v>5</v>
      </c>
    </row>
    <row r="538" spans="1:13" x14ac:dyDescent="0.25">
      <c r="A538" t="s">
        <v>4</v>
      </c>
      <c r="B538" s="1">
        <v>44540</v>
      </c>
      <c r="C538" t="s">
        <v>13</v>
      </c>
      <c r="D538">
        <v>5</v>
      </c>
      <c r="E538">
        <v>0</v>
      </c>
      <c r="F538">
        <v>-5</v>
      </c>
      <c r="G538" t="s">
        <v>14</v>
      </c>
      <c r="H538" t="s">
        <v>15</v>
      </c>
      <c r="I538" t="s">
        <v>16</v>
      </c>
      <c r="J538" t="str">
        <f>TEXT(Data[[#This Row],[Date]],"mmm")</f>
        <v>Dec</v>
      </c>
      <c r="K538">
        <f>MONTH(Data[[#This Row],[Date]])</f>
        <v>12</v>
      </c>
      <c r="L538">
        <f>IF(Data[[#This Row],[Category Type]]="Income",Data[[#This Row],[Amount]],0)</f>
        <v>0</v>
      </c>
      <c r="M538">
        <f>IF(Data[[#This Row],[Category Type]]="Expense",-Data[[#This Row],[Amount]],0)</f>
        <v>5</v>
      </c>
    </row>
    <row r="539" spans="1:13" x14ac:dyDescent="0.25">
      <c r="A539" t="s">
        <v>4</v>
      </c>
      <c r="B539" s="1">
        <v>44541</v>
      </c>
      <c r="C539" t="s">
        <v>23</v>
      </c>
      <c r="D539">
        <v>160</v>
      </c>
      <c r="E539">
        <v>0</v>
      </c>
      <c r="F539">
        <v>-160</v>
      </c>
      <c r="G539" t="s">
        <v>24</v>
      </c>
      <c r="H539" t="s">
        <v>19</v>
      </c>
      <c r="I539" t="s">
        <v>16</v>
      </c>
      <c r="J539" t="str">
        <f>TEXT(Data[[#This Row],[Date]],"mmm")</f>
        <v>Dec</v>
      </c>
      <c r="K539">
        <f>MONTH(Data[[#This Row],[Date]])</f>
        <v>12</v>
      </c>
      <c r="L539">
        <f>IF(Data[[#This Row],[Category Type]]="Income",Data[[#This Row],[Amount]],0)</f>
        <v>0</v>
      </c>
      <c r="M539">
        <f>IF(Data[[#This Row],[Category Type]]="Expense",-Data[[#This Row],[Amount]],0)</f>
        <v>160</v>
      </c>
    </row>
    <row r="540" spans="1:13" x14ac:dyDescent="0.25">
      <c r="A540" t="s">
        <v>9</v>
      </c>
      <c r="B540" s="1">
        <v>44542</v>
      </c>
      <c r="C540" t="s">
        <v>25</v>
      </c>
      <c r="D540">
        <v>49</v>
      </c>
      <c r="E540">
        <v>0</v>
      </c>
      <c r="F540">
        <v>-49</v>
      </c>
      <c r="G540" t="s">
        <v>26</v>
      </c>
      <c r="H540" t="s">
        <v>19</v>
      </c>
      <c r="I540" t="s">
        <v>16</v>
      </c>
      <c r="J540" t="str">
        <f>TEXT(Data[[#This Row],[Date]],"mmm")</f>
        <v>Dec</v>
      </c>
      <c r="K540">
        <f>MONTH(Data[[#This Row],[Date]])</f>
        <v>12</v>
      </c>
      <c r="L540">
        <f>IF(Data[[#This Row],[Category Type]]="Income",Data[[#This Row],[Amount]],0)</f>
        <v>0</v>
      </c>
      <c r="M540">
        <f>IF(Data[[#This Row],[Category Type]]="Expense",-Data[[#This Row],[Amount]],0)</f>
        <v>49</v>
      </c>
    </row>
    <row r="541" spans="1:13" x14ac:dyDescent="0.25">
      <c r="A541" t="s">
        <v>4</v>
      </c>
      <c r="B541" s="1">
        <v>44543</v>
      </c>
      <c r="C541" t="s">
        <v>13</v>
      </c>
      <c r="D541">
        <v>5</v>
      </c>
      <c r="E541">
        <v>0</v>
      </c>
      <c r="F541">
        <v>-5</v>
      </c>
      <c r="G541" t="s">
        <v>14</v>
      </c>
      <c r="H541" t="s">
        <v>15</v>
      </c>
      <c r="I541" t="s">
        <v>16</v>
      </c>
      <c r="J541" t="str">
        <f>TEXT(Data[[#This Row],[Date]],"mmm")</f>
        <v>Dec</v>
      </c>
      <c r="K541">
        <f>MONTH(Data[[#This Row],[Date]])</f>
        <v>12</v>
      </c>
      <c r="L541">
        <f>IF(Data[[#This Row],[Category Type]]="Income",Data[[#This Row],[Amount]],0)</f>
        <v>0</v>
      </c>
      <c r="M541">
        <f>IF(Data[[#This Row],[Category Type]]="Expense",-Data[[#This Row],[Amount]],0)</f>
        <v>5</v>
      </c>
    </row>
    <row r="542" spans="1:13" x14ac:dyDescent="0.25">
      <c r="A542" t="s">
        <v>4</v>
      </c>
      <c r="B542" s="1">
        <v>44544</v>
      </c>
      <c r="C542" t="s">
        <v>13</v>
      </c>
      <c r="D542">
        <v>5</v>
      </c>
      <c r="E542">
        <v>0</v>
      </c>
      <c r="F542">
        <v>-5</v>
      </c>
      <c r="G542" t="s">
        <v>14</v>
      </c>
      <c r="H542" t="s">
        <v>15</v>
      </c>
      <c r="I542" t="s">
        <v>16</v>
      </c>
      <c r="J542" t="str">
        <f>TEXT(Data[[#This Row],[Date]],"mmm")</f>
        <v>Dec</v>
      </c>
      <c r="K542">
        <f>MONTH(Data[[#This Row],[Date]])</f>
        <v>12</v>
      </c>
      <c r="L542">
        <f>IF(Data[[#This Row],[Category Type]]="Income",Data[[#This Row],[Amount]],0)</f>
        <v>0</v>
      </c>
      <c r="M542">
        <f>IF(Data[[#This Row],[Category Type]]="Expense",-Data[[#This Row],[Amount]],0)</f>
        <v>5</v>
      </c>
    </row>
    <row r="543" spans="1:13" x14ac:dyDescent="0.25">
      <c r="A543" t="s">
        <v>4</v>
      </c>
      <c r="B543" s="1">
        <v>44545</v>
      </c>
      <c r="C543" t="s">
        <v>27</v>
      </c>
      <c r="D543">
        <v>94</v>
      </c>
      <c r="E543">
        <v>0</v>
      </c>
      <c r="F543">
        <v>-94</v>
      </c>
      <c r="G543" t="s">
        <v>28</v>
      </c>
      <c r="H543" t="s">
        <v>22</v>
      </c>
      <c r="I543" t="s">
        <v>16</v>
      </c>
      <c r="J543" t="str">
        <f>TEXT(Data[[#This Row],[Date]],"mmm")</f>
        <v>Dec</v>
      </c>
      <c r="K543">
        <f>MONTH(Data[[#This Row],[Date]])</f>
        <v>12</v>
      </c>
      <c r="L543">
        <f>IF(Data[[#This Row],[Category Type]]="Income",Data[[#This Row],[Amount]],0)</f>
        <v>0</v>
      </c>
      <c r="M543">
        <f>IF(Data[[#This Row],[Category Type]]="Expense",-Data[[#This Row],[Amount]],0)</f>
        <v>94</v>
      </c>
    </row>
    <row r="544" spans="1:13" x14ac:dyDescent="0.25">
      <c r="A544" t="s">
        <v>4</v>
      </c>
      <c r="B544" s="1">
        <v>44546</v>
      </c>
      <c r="C544" t="s">
        <v>13</v>
      </c>
      <c r="D544">
        <v>5</v>
      </c>
      <c r="E544">
        <v>0</v>
      </c>
      <c r="F544">
        <v>-5</v>
      </c>
      <c r="G544" t="s">
        <v>14</v>
      </c>
      <c r="H544" t="s">
        <v>15</v>
      </c>
      <c r="I544" t="s">
        <v>16</v>
      </c>
      <c r="J544" t="str">
        <f>TEXT(Data[[#This Row],[Date]],"mmm")</f>
        <v>Dec</v>
      </c>
      <c r="K544">
        <f>MONTH(Data[[#This Row],[Date]])</f>
        <v>12</v>
      </c>
      <c r="L544">
        <f>IF(Data[[#This Row],[Category Type]]="Income",Data[[#This Row],[Amount]],0)</f>
        <v>0</v>
      </c>
      <c r="M544">
        <f>IF(Data[[#This Row],[Category Type]]="Expense",-Data[[#This Row],[Amount]],0)</f>
        <v>5</v>
      </c>
    </row>
    <row r="545" spans="1:13" x14ac:dyDescent="0.25">
      <c r="A545" t="s">
        <v>4</v>
      </c>
      <c r="B545" s="1">
        <v>44547</v>
      </c>
      <c r="C545" t="s">
        <v>13</v>
      </c>
      <c r="D545">
        <v>5</v>
      </c>
      <c r="E545">
        <v>0</v>
      </c>
      <c r="F545">
        <v>-5</v>
      </c>
      <c r="G545" t="s">
        <v>14</v>
      </c>
      <c r="H545" t="s">
        <v>15</v>
      </c>
      <c r="I545" t="s">
        <v>16</v>
      </c>
      <c r="J545" t="str">
        <f>TEXT(Data[[#This Row],[Date]],"mmm")</f>
        <v>Dec</v>
      </c>
      <c r="K545">
        <f>MONTH(Data[[#This Row],[Date]])</f>
        <v>12</v>
      </c>
      <c r="L545">
        <f>IF(Data[[#This Row],[Category Type]]="Income",Data[[#This Row],[Amount]],0)</f>
        <v>0</v>
      </c>
      <c r="M545">
        <f>IF(Data[[#This Row],[Category Type]]="Expense",-Data[[#This Row],[Amount]],0)</f>
        <v>5</v>
      </c>
    </row>
    <row r="546" spans="1:13" x14ac:dyDescent="0.25">
      <c r="A546" t="s">
        <v>4</v>
      </c>
      <c r="B546" s="1">
        <v>44548</v>
      </c>
      <c r="C546" t="s">
        <v>23</v>
      </c>
      <c r="D546">
        <v>133</v>
      </c>
      <c r="E546">
        <v>0</v>
      </c>
      <c r="F546">
        <v>-133</v>
      </c>
      <c r="G546" t="s">
        <v>24</v>
      </c>
      <c r="H546" t="s">
        <v>19</v>
      </c>
      <c r="I546" t="s">
        <v>16</v>
      </c>
      <c r="J546" t="str">
        <f>TEXT(Data[[#This Row],[Date]],"mmm")</f>
        <v>Dec</v>
      </c>
      <c r="K546">
        <f>MONTH(Data[[#This Row],[Date]])</f>
        <v>12</v>
      </c>
      <c r="L546">
        <f>IF(Data[[#This Row],[Category Type]]="Income",Data[[#This Row],[Amount]],0)</f>
        <v>0</v>
      </c>
      <c r="M546">
        <f>IF(Data[[#This Row],[Category Type]]="Expense",-Data[[#This Row],[Amount]],0)</f>
        <v>133</v>
      </c>
    </row>
    <row r="547" spans="1:13" x14ac:dyDescent="0.25">
      <c r="A547" t="s">
        <v>4</v>
      </c>
      <c r="B547" s="1">
        <v>44549</v>
      </c>
      <c r="C547" t="s">
        <v>13</v>
      </c>
      <c r="D547">
        <v>5</v>
      </c>
      <c r="E547">
        <v>0</v>
      </c>
      <c r="F547">
        <v>-5</v>
      </c>
      <c r="G547" t="s">
        <v>14</v>
      </c>
      <c r="H547" t="s">
        <v>15</v>
      </c>
      <c r="I547" t="s">
        <v>16</v>
      </c>
      <c r="J547" t="str">
        <f>TEXT(Data[[#This Row],[Date]],"mmm")</f>
        <v>Dec</v>
      </c>
      <c r="K547">
        <f>MONTH(Data[[#This Row],[Date]])</f>
        <v>12</v>
      </c>
      <c r="L547">
        <f>IF(Data[[#This Row],[Category Type]]="Income",Data[[#This Row],[Amount]],0)</f>
        <v>0</v>
      </c>
      <c r="M547">
        <f>IF(Data[[#This Row],[Category Type]]="Expense",-Data[[#This Row],[Amount]],0)</f>
        <v>5</v>
      </c>
    </row>
    <row r="548" spans="1:13" x14ac:dyDescent="0.25">
      <c r="A548" t="s">
        <v>4</v>
      </c>
      <c r="B548" s="1">
        <v>44550</v>
      </c>
      <c r="C548" t="s">
        <v>13</v>
      </c>
      <c r="D548">
        <v>5</v>
      </c>
      <c r="E548">
        <v>0</v>
      </c>
      <c r="F548">
        <v>-5</v>
      </c>
      <c r="G548" t="s">
        <v>14</v>
      </c>
      <c r="H548" t="s">
        <v>15</v>
      </c>
      <c r="I548" t="s">
        <v>16</v>
      </c>
      <c r="J548" t="str">
        <f>TEXT(Data[[#This Row],[Date]],"mmm")</f>
        <v>Dec</v>
      </c>
      <c r="K548">
        <f>MONTH(Data[[#This Row],[Date]])</f>
        <v>12</v>
      </c>
      <c r="L548">
        <f>IF(Data[[#This Row],[Category Type]]="Income",Data[[#This Row],[Amount]],0)</f>
        <v>0</v>
      </c>
      <c r="M548">
        <f>IF(Data[[#This Row],[Category Type]]="Expense",-Data[[#This Row],[Amount]],0)</f>
        <v>5</v>
      </c>
    </row>
    <row r="549" spans="1:13" x14ac:dyDescent="0.25">
      <c r="A549" t="s">
        <v>4</v>
      </c>
      <c r="B549" s="1">
        <v>44551</v>
      </c>
      <c r="C549" t="s">
        <v>29</v>
      </c>
      <c r="D549">
        <v>36</v>
      </c>
      <c r="E549">
        <v>0</v>
      </c>
      <c r="F549">
        <v>-36</v>
      </c>
      <c r="G549" t="s">
        <v>21</v>
      </c>
      <c r="H549" t="s">
        <v>30</v>
      </c>
      <c r="I549" t="s">
        <v>16</v>
      </c>
      <c r="J549" t="str">
        <f>TEXT(Data[[#This Row],[Date]],"mmm")</f>
        <v>Dec</v>
      </c>
      <c r="K549">
        <f>MONTH(Data[[#This Row],[Date]])</f>
        <v>12</v>
      </c>
      <c r="L549">
        <f>IF(Data[[#This Row],[Category Type]]="Income",Data[[#This Row],[Amount]],0)</f>
        <v>0</v>
      </c>
      <c r="M549">
        <f>IF(Data[[#This Row],[Category Type]]="Expense",-Data[[#This Row],[Amount]],0)</f>
        <v>36</v>
      </c>
    </row>
    <row r="550" spans="1:13" x14ac:dyDescent="0.25">
      <c r="A550" t="s">
        <v>4</v>
      </c>
      <c r="B550" s="1">
        <v>44552</v>
      </c>
      <c r="C550" t="s">
        <v>31</v>
      </c>
      <c r="D550">
        <v>74</v>
      </c>
      <c r="E550">
        <v>0</v>
      </c>
      <c r="F550">
        <v>-74</v>
      </c>
      <c r="G550" t="s">
        <v>32</v>
      </c>
      <c r="H550" t="s">
        <v>30</v>
      </c>
      <c r="I550" t="s">
        <v>16</v>
      </c>
      <c r="J550" t="str">
        <f>TEXT(Data[[#This Row],[Date]],"mmm")</f>
        <v>Dec</v>
      </c>
      <c r="K550">
        <f>MONTH(Data[[#This Row],[Date]])</f>
        <v>12</v>
      </c>
      <c r="L550">
        <f>IF(Data[[#This Row],[Category Type]]="Income",Data[[#This Row],[Amount]],0)</f>
        <v>0</v>
      </c>
      <c r="M550">
        <f>IF(Data[[#This Row],[Category Type]]="Expense",-Data[[#This Row],[Amount]],0)</f>
        <v>74</v>
      </c>
    </row>
    <row r="551" spans="1:13" x14ac:dyDescent="0.25">
      <c r="A551" t="s">
        <v>4</v>
      </c>
      <c r="B551" s="1">
        <v>44553</v>
      </c>
      <c r="C551" t="s">
        <v>33</v>
      </c>
      <c r="D551">
        <v>72</v>
      </c>
      <c r="E551">
        <v>0</v>
      </c>
      <c r="F551">
        <v>-72</v>
      </c>
      <c r="G551" t="s">
        <v>34</v>
      </c>
      <c r="H551" t="s">
        <v>15</v>
      </c>
      <c r="I551" t="s">
        <v>16</v>
      </c>
      <c r="J551" t="str">
        <f>TEXT(Data[[#This Row],[Date]],"mmm")</f>
        <v>Dec</v>
      </c>
      <c r="K551">
        <f>MONTH(Data[[#This Row],[Date]])</f>
        <v>12</v>
      </c>
      <c r="L551">
        <f>IF(Data[[#This Row],[Category Type]]="Income",Data[[#This Row],[Amount]],0)</f>
        <v>0</v>
      </c>
      <c r="M551">
        <f>IF(Data[[#This Row],[Category Type]]="Expense",-Data[[#This Row],[Amount]],0)</f>
        <v>72</v>
      </c>
    </row>
    <row r="552" spans="1:13" x14ac:dyDescent="0.25">
      <c r="A552" t="s">
        <v>4</v>
      </c>
      <c r="B552" s="1">
        <v>44554</v>
      </c>
      <c r="C552" t="s">
        <v>35</v>
      </c>
      <c r="D552">
        <v>28</v>
      </c>
      <c r="E552">
        <v>0</v>
      </c>
      <c r="F552">
        <v>-28</v>
      </c>
      <c r="G552" t="s">
        <v>36</v>
      </c>
      <c r="H552" t="s">
        <v>22</v>
      </c>
      <c r="I552" t="s">
        <v>16</v>
      </c>
      <c r="J552" t="str">
        <f>TEXT(Data[[#This Row],[Date]],"mmm")</f>
        <v>Dec</v>
      </c>
      <c r="K552">
        <f>MONTH(Data[[#This Row],[Date]])</f>
        <v>12</v>
      </c>
      <c r="L552">
        <f>IF(Data[[#This Row],[Category Type]]="Income",Data[[#This Row],[Amount]],0)</f>
        <v>0</v>
      </c>
      <c r="M552">
        <f>IF(Data[[#This Row],[Category Type]]="Expense",-Data[[#This Row],[Amount]],0)</f>
        <v>28</v>
      </c>
    </row>
    <row r="553" spans="1:13" x14ac:dyDescent="0.25">
      <c r="A553" t="s">
        <v>9</v>
      </c>
      <c r="B553" s="1">
        <v>44555</v>
      </c>
      <c r="C553" t="s">
        <v>37</v>
      </c>
      <c r="D553">
        <v>30</v>
      </c>
      <c r="E553">
        <v>0</v>
      </c>
      <c r="F553">
        <v>-30</v>
      </c>
      <c r="G553" t="s">
        <v>38</v>
      </c>
      <c r="H553" t="s">
        <v>30</v>
      </c>
      <c r="I553" t="s">
        <v>16</v>
      </c>
      <c r="J553" t="str">
        <f>TEXT(Data[[#This Row],[Date]],"mmm")</f>
        <v>Dec</v>
      </c>
      <c r="K553">
        <f>MONTH(Data[[#This Row],[Date]])</f>
        <v>12</v>
      </c>
      <c r="L553">
        <f>IF(Data[[#This Row],[Category Type]]="Income",Data[[#This Row],[Amount]],0)</f>
        <v>0</v>
      </c>
      <c r="M553">
        <f>IF(Data[[#This Row],[Category Type]]="Expense",-Data[[#This Row],[Amount]],0)</f>
        <v>30</v>
      </c>
    </row>
    <row r="554" spans="1:13" x14ac:dyDescent="0.25">
      <c r="A554" t="s">
        <v>4</v>
      </c>
      <c r="B554" s="1">
        <v>44556</v>
      </c>
      <c r="C554" t="s">
        <v>13</v>
      </c>
      <c r="D554">
        <v>5</v>
      </c>
      <c r="E554">
        <v>0</v>
      </c>
      <c r="F554">
        <v>-5</v>
      </c>
      <c r="G554" t="s">
        <v>14</v>
      </c>
      <c r="H554" t="s">
        <v>15</v>
      </c>
      <c r="I554" t="s">
        <v>16</v>
      </c>
      <c r="J554" t="str">
        <f>TEXT(Data[[#This Row],[Date]],"mmm")</f>
        <v>Dec</v>
      </c>
      <c r="K554">
        <f>MONTH(Data[[#This Row],[Date]])</f>
        <v>12</v>
      </c>
      <c r="L554">
        <f>IF(Data[[#This Row],[Category Type]]="Income",Data[[#This Row],[Amount]],0)</f>
        <v>0</v>
      </c>
      <c r="M554">
        <f>IF(Data[[#This Row],[Category Type]]="Expense",-Data[[#This Row],[Amount]],0)</f>
        <v>5</v>
      </c>
    </row>
    <row r="555" spans="1:13" x14ac:dyDescent="0.25">
      <c r="A555" t="s">
        <v>4</v>
      </c>
      <c r="B555" s="1">
        <v>44557</v>
      </c>
      <c r="C555" t="s">
        <v>13</v>
      </c>
      <c r="D555">
        <v>5</v>
      </c>
      <c r="E555">
        <v>0</v>
      </c>
      <c r="F555">
        <v>-5</v>
      </c>
      <c r="G555" t="s">
        <v>14</v>
      </c>
      <c r="H555" t="s">
        <v>15</v>
      </c>
      <c r="I555" t="s">
        <v>16</v>
      </c>
      <c r="J555" t="str">
        <f>TEXT(Data[[#This Row],[Date]],"mmm")</f>
        <v>Dec</v>
      </c>
      <c r="K555">
        <f>MONTH(Data[[#This Row],[Date]])</f>
        <v>12</v>
      </c>
      <c r="L555">
        <f>IF(Data[[#This Row],[Category Type]]="Income",Data[[#This Row],[Amount]],0)</f>
        <v>0</v>
      </c>
      <c r="M555">
        <f>IF(Data[[#This Row],[Category Type]]="Expense",-Data[[#This Row],[Amount]],0)</f>
        <v>5</v>
      </c>
    </row>
    <row r="556" spans="1:13" x14ac:dyDescent="0.25">
      <c r="A556" t="s">
        <v>9</v>
      </c>
      <c r="B556" s="1">
        <v>44558</v>
      </c>
      <c r="C556" t="s">
        <v>42</v>
      </c>
      <c r="D556">
        <v>40</v>
      </c>
      <c r="E556">
        <v>0</v>
      </c>
      <c r="F556">
        <v>-40</v>
      </c>
      <c r="G556" t="s">
        <v>43</v>
      </c>
      <c r="H556" t="s">
        <v>19</v>
      </c>
      <c r="I556" t="s">
        <v>16</v>
      </c>
      <c r="J556" t="str">
        <f>TEXT(Data[[#This Row],[Date]],"mmm")</f>
        <v>Dec</v>
      </c>
      <c r="K556">
        <f>MONTH(Data[[#This Row],[Date]])</f>
        <v>12</v>
      </c>
      <c r="L556">
        <f>IF(Data[[#This Row],[Category Type]]="Income",Data[[#This Row],[Amount]],0)</f>
        <v>0</v>
      </c>
      <c r="M556">
        <f>IF(Data[[#This Row],[Category Type]]="Expense",-Data[[#This Row],[Amount]],0)</f>
        <v>40</v>
      </c>
    </row>
    <row r="557" spans="1:13" x14ac:dyDescent="0.25">
      <c r="A557" t="s">
        <v>4</v>
      </c>
      <c r="B557" s="1">
        <v>44559</v>
      </c>
      <c r="C557" t="s">
        <v>46</v>
      </c>
      <c r="D557">
        <v>35</v>
      </c>
      <c r="E557">
        <v>0</v>
      </c>
      <c r="F557">
        <v>-35</v>
      </c>
      <c r="G557" t="s">
        <v>21</v>
      </c>
      <c r="H557" t="s">
        <v>30</v>
      </c>
      <c r="I557" t="s">
        <v>16</v>
      </c>
      <c r="J557" t="str">
        <f>TEXT(Data[[#This Row],[Date]],"mmm")</f>
        <v>Dec</v>
      </c>
      <c r="K557">
        <f>MONTH(Data[[#This Row],[Date]])</f>
        <v>12</v>
      </c>
      <c r="L557">
        <f>IF(Data[[#This Row],[Category Type]]="Income",Data[[#This Row],[Amount]],0)</f>
        <v>0</v>
      </c>
      <c r="M557">
        <f>IF(Data[[#This Row],[Category Type]]="Expense",-Data[[#This Row],[Amount]],0)</f>
        <v>35</v>
      </c>
    </row>
    <row r="558" spans="1:13" x14ac:dyDescent="0.25">
      <c r="A558" t="s">
        <v>4</v>
      </c>
      <c r="B558" s="1">
        <v>44560</v>
      </c>
      <c r="C558" t="s">
        <v>13</v>
      </c>
      <c r="D558">
        <v>5</v>
      </c>
      <c r="E558">
        <v>0</v>
      </c>
      <c r="F558">
        <v>-5</v>
      </c>
      <c r="G558" t="s">
        <v>14</v>
      </c>
      <c r="H558" t="s">
        <v>15</v>
      </c>
      <c r="I558" t="s">
        <v>16</v>
      </c>
      <c r="J558" t="str">
        <f>TEXT(Data[[#This Row],[Date]],"mmm")</f>
        <v>Dec</v>
      </c>
      <c r="K558">
        <f>MONTH(Data[[#This Row],[Date]])</f>
        <v>12</v>
      </c>
      <c r="L558">
        <f>IF(Data[[#This Row],[Category Type]]="Income",Data[[#This Row],[Amount]],0)</f>
        <v>0</v>
      </c>
      <c r="M558">
        <f>IF(Data[[#This Row],[Category Type]]="Expense",-Data[[#This Row],[Amount]],0)</f>
        <v>5</v>
      </c>
    </row>
    <row r="559" spans="1:13" x14ac:dyDescent="0.25">
      <c r="A559" t="s">
        <v>4</v>
      </c>
      <c r="B559" s="1">
        <v>44561</v>
      </c>
      <c r="C559" t="s">
        <v>13</v>
      </c>
      <c r="D559">
        <v>5</v>
      </c>
      <c r="E559">
        <v>0</v>
      </c>
      <c r="F559">
        <v>-5</v>
      </c>
      <c r="G559" t="s">
        <v>14</v>
      </c>
      <c r="H559" t="s">
        <v>15</v>
      </c>
      <c r="I559" t="s">
        <v>16</v>
      </c>
      <c r="J559" t="str">
        <f>TEXT(Data[[#This Row],[Date]],"mmm")</f>
        <v>Dec</v>
      </c>
      <c r="K559">
        <f>MONTH(Data[[#This Row],[Date]])</f>
        <v>12</v>
      </c>
      <c r="L559">
        <f>IF(Data[[#This Row],[Category Type]]="Income",Data[[#This Row],[Amount]],0)</f>
        <v>0</v>
      </c>
      <c r="M559">
        <f>IF(Data[[#This Row],[Category Type]]="Expense",-Data[[#This Row],[Amount]],0)</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6EF0-DD0A-403C-B6FF-18DC83D349E3}">
  <dimension ref="A1:AJ23"/>
  <sheetViews>
    <sheetView showGridLines="0" workbookViewId="0">
      <selection activeCell="H34" sqref="H34"/>
    </sheetView>
  </sheetViews>
  <sheetFormatPr defaultRowHeight="15" x14ac:dyDescent="0.25"/>
  <cols>
    <col min="1" max="1" width="13.42578125" bestFit="1" customWidth="1"/>
    <col min="2" max="2" width="7.7109375" bestFit="1" customWidth="1"/>
    <col min="3" max="3" width="8.7109375" bestFit="1" customWidth="1"/>
    <col min="4" max="4" width="3.5703125" customWidth="1"/>
    <col min="5" max="5" width="13.42578125" bestFit="1" customWidth="1"/>
    <col min="6" max="6" width="14.85546875" bestFit="1" customWidth="1"/>
    <col min="7" max="7" width="3.5703125" customWidth="1"/>
    <col min="8" max="8" width="14.7109375" bestFit="1" customWidth="1"/>
    <col min="9" max="9" width="8.7109375" bestFit="1" customWidth="1"/>
    <col min="10" max="10" width="3.5703125" customWidth="1"/>
    <col min="11" max="11" width="13.42578125" bestFit="1" customWidth="1"/>
    <col min="12" max="12" width="8.7109375" bestFit="1" customWidth="1"/>
    <col min="13" max="13" width="3.5703125" customWidth="1"/>
    <col min="14" max="14" width="24.42578125" bestFit="1" customWidth="1"/>
    <col min="15" max="15" width="16.85546875" bestFit="1" customWidth="1"/>
    <col min="16" max="16" width="10.5703125" bestFit="1" customWidth="1"/>
    <col min="17" max="17" width="13.28515625" bestFit="1" customWidth="1"/>
    <col min="18" max="18" width="15.5703125" bestFit="1" customWidth="1"/>
    <col min="19" max="19" width="8" bestFit="1" customWidth="1"/>
    <col min="20" max="20" width="6.42578125" bestFit="1" customWidth="1"/>
    <col min="21" max="21" width="9.5703125" bestFit="1" customWidth="1"/>
    <col min="22" max="22" width="11.28515625" bestFit="1" customWidth="1"/>
    <col min="23" max="23" width="3.5703125" customWidth="1"/>
    <col min="24" max="24" width="14.85546875" bestFit="1" customWidth="1"/>
    <col min="25" max="25" width="16.85546875" bestFit="1" customWidth="1"/>
    <col min="26" max="26" width="7.7109375" bestFit="1" customWidth="1"/>
    <col min="27" max="27" width="11.28515625" bestFit="1" customWidth="1"/>
    <col min="28" max="28" width="3.5703125" customWidth="1"/>
    <col min="29" max="29" width="13.42578125" bestFit="1" customWidth="1"/>
    <col min="30" max="30" width="8.7109375" bestFit="1" customWidth="1"/>
    <col min="31" max="31" width="3.5703125" customWidth="1"/>
    <col min="32" max="32" width="13.42578125" bestFit="1" customWidth="1"/>
    <col min="33" max="33" width="21.5703125" bestFit="1" customWidth="1"/>
    <col min="34" max="34" width="3.5703125" customWidth="1"/>
    <col min="35" max="35" width="13.42578125" bestFit="1" customWidth="1"/>
    <col min="36" max="36" width="14.7109375" bestFit="1" customWidth="1"/>
  </cols>
  <sheetData>
    <row r="1" spans="1:36" x14ac:dyDescent="0.25">
      <c r="A1" s="10" t="s">
        <v>86</v>
      </c>
      <c r="B1" s="10"/>
      <c r="C1" s="10"/>
      <c r="D1" s="6"/>
      <c r="E1" s="10" t="s">
        <v>97</v>
      </c>
      <c r="F1" s="9"/>
      <c r="H1" s="11" t="s">
        <v>92</v>
      </c>
      <c r="I1" s="12"/>
      <c r="K1" s="13" t="s">
        <v>93</v>
      </c>
      <c r="L1" s="9"/>
      <c r="N1" s="13" t="s">
        <v>87</v>
      </c>
      <c r="X1" s="13" t="s">
        <v>88</v>
      </c>
      <c r="Y1" s="9"/>
      <c r="AC1" s="13" t="s">
        <v>89</v>
      </c>
      <c r="AD1" s="9"/>
      <c r="AF1" s="13" t="s">
        <v>90</v>
      </c>
      <c r="AG1" s="9"/>
      <c r="AI1" s="13" t="s">
        <v>91</v>
      </c>
      <c r="AJ1" s="9"/>
    </row>
    <row r="4" spans="1:36" x14ac:dyDescent="0.25">
      <c r="A4" s="3" t="s">
        <v>64</v>
      </c>
      <c r="B4" t="s">
        <v>12</v>
      </c>
      <c r="C4" t="s">
        <v>16</v>
      </c>
      <c r="E4" s="3" t="s">
        <v>64</v>
      </c>
      <c r="F4" t="s">
        <v>83</v>
      </c>
      <c r="H4" s="3" t="s">
        <v>64</v>
      </c>
      <c r="I4" t="s">
        <v>16</v>
      </c>
      <c r="K4" s="3" t="s">
        <v>64</v>
      </c>
      <c r="L4" t="s">
        <v>16</v>
      </c>
      <c r="N4" s="3" t="s">
        <v>66</v>
      </c>
      <c r="O4" s="3" t="s">
        <v>82</v>
      </c>
      <c r="X4" s="3" t="s">
        <v>83</v>
      </c>
      <c r="Y4" s="3" t="s">
        <v>82</v>
      </c>
      <c r="AC4" s="3" t="s">
        <v>64</v>
      </c>
      <c r="AD4" t="s">
        <v>16</v>
      </c>
      <c r="AF4" s="3" t="s">
        <v>64</v>
      </c>
      <c r="AG4" t="s">
        <v>84</v>
      </c>
      <c r="AI4" s="3" t="s">
        <v>64</v>
      </c>
      <c r="AJ4" t="s">
        <v>85</v>
      </c>
    </row>
    <row r="5" spans="1:36" x14ac:dyDescent="0.25">
      <c r="A5" s="4" t="s">
        <v>67</v>
      </c>
      <c r="B5" s="5">
        <v>4000</v>
      </c>
      <c r="C5" s="5">
        <v>2948</v>
      </c>
      <c r="D5" s="5"/>
      <c r="E5" s="4" t="s">
        <v>67</v>
      </c>
      <c r="F5" s="5">
        <v>1052</v>
      </c>
      <c r="H5" s="4" t="s">
        <v>19</v>
      </c>
      <c r="I5" s="5">
        <v>19441.800000000003</v>
      </c>
      <c r="K5" s="4" t="s">
        <v>18</v>
      </c>
      <c r="L5" s="5">
        <v>10854</v>
      </c>
      <c r="N5" s="3" t="s">
        <v>64</v>
      </c>
      <c r="O5" t="s">
        <v>51</v>
      </c>
      <c r="P5" t="s">
        <v>15</v>
      </c>
      <c r="Q5" t="s">
        <v>30</v>
      </c>
      <c r="R5" t="s">
        <v>19</v>
      </c>
      <c r="S5" t="s">
        <v>41</v>
      </c>
      <c r="T5" t="s">
        <v>11</v>
      </c>
      <c r="U5" t="s">
        <v>22</v>
      </c>
      <c r="V5" t="s">
        <v>65</v>
      </c>
      <c r="X5" s="3" t="s">
        <v>64</v>
      </c>
      <c r="Y5" t="s">
        <v>16</v>
      </c>
      <c r="Z5" t="s">
        <v>12</v>
      </c>
      <c r="AA5" t="s">
        <v>65</v>
      </c>
      <c r="AC5" s="4" t="s">
        <v>17</v>
      </c>
      <c r="AD5" s="5">
        <v>10854</v>
      </c>
      <c r="AF5" s="4" t="s">
        <v>32</v>
      </c>
      <c r="AG5" s="15">
        <v>36</v>
      </c>
      <c r="AI5" s="4" t="s">
        <v>18</v>
      </c>
      <c r="AJ5" s="5">
        <v>904.5</v>
      </c>
    </row>
    <row r="6" spans="1:36" x14ac:dyDescent="0.25">
      <c r="A6" s="4" t="s">
        <v>68</v>
      </c>
      <c r="B6" s="5">
        <v>4000</v>
      </c>
      <c r="C6" s="5">
        <v>2934.6000000000004</v>
      </c>
      <c r="D6" s="5"/>
      <c r="E6" s="4" t="s">
        <v>68</v>
      </c>
      <c r="F6" s="5">
        <v>1065.3999999999996</v>
      </c>
      <c r="H6" s="4" t="s">
        <v>30</v>
      </c>
      <c r="I6" s="5">
        <v>7916.6000000000013</v>
      </c>
      <c r="K6" s="4" t="s">
        <v>24</v>
      </c>
      <c r="L6" s="5">
        <v>7464.0999999999995</v>
      </c>
      <c r="N6" s="4" t="s">
        <v>67</v>
      </c>
      <c r="O6" s="5">
        <v>-55</v>
      </c>
      <c r="P6" s="5">
        <v>206</v>
      </c>
      <c r="Q6" s="5">
        <v>690</v>
      </c>
      <c r="R6" s="5">
        <v>1612</v>
      </c>
      <c r="S6" s="5">
        <v>154</v>
      </c>
      <c r="T6" s="5">
        <v>0</v>
      </c>
      <c r="U6" s="5">
        <v>341</v>
      </c>
      <c r="V6" s="5">
        <v>2948</v>
      </c>
      <c r="X6" s="4" t="s">
        <v>9</v>
      </c>
      <c r="Y6" s="5">
        <v>-15011.7</v>
      </c>
      <c r="Z6" s="5">
        <v>48000</v>
      </c>
      <c r="AA6" s="5">
        <v>32988.300000000003</v>
      </c>
      <c r="AC6" s="4" t="s">
        <v>23</v>
      </c>
      <c r="AD6" s="5">
        <v>7464.0999999999995</v>
      </c>
      <c r="AF6" s="4" t="s">
        <v>14</v>
      </c>
      <c r="AG6" s="15">
        <v>258</v>
      </c>
      <c r="AI6" s="4" t="s">
        <v>60</v>
      </c>
      <c r="AJ6" s="5">
        <v>208.2</v>
      </c>
    </row>
    <row r="7" spans="1:36" x14ac:dyDescent="0.25">
      <c r="A7" s="4" t="s">
        <v>69</v>
      </c>
      <c r="B7" s="5">
        <v>4000</v>
      </c>
      <c r="C7" s="5">
        <v>3079.7</v>
      </c>
      <c r="D7" s="5"/>
      <c r="E7" s="4" t="s">
        <v>69</v>
      </c>
      <c r="F7" s="5">
        <v>920.29999999999939</v>
      </c>
      <c r="H7" s="4" t="s">
        <v>22</v>
      </c>
      <c r="I7" s="5">
        <v>4244.6999999999989</v>
      </c>
      <c r="K7" s="4" t="s">
        <v>32</v>
      </c>
      <c r="L7" s="5">
        <v>4690.6000000000004</v>
      </c>
      <c r="N7" s="4" t="s">
        <v>68</v>
      </c>
      <c r="O7" s="5">
        <v>55</v>
      </c>
      <c r="P7" s="5">
        <v>208.8</v>
      </c>
      <c r="Q7" s="5">
        <v>659.80000000000007</v>
      </c>
      <c r="R7" s="5">
        <v>1665.9</v>
      </c>
      <c r="S7" s="5"/>
      <c r="T7" s="5">
        <v>0</v>
      </c>
      <c r="U7" s="5">
        <v>345.1</v>
      </c>
      <c r="V7" s="5">
        <v>2934.6</v>
      </c>
      <c r="X7" s="4" t="s">
        <v>4</v>
      </c>
      <c r="Y7" s="5">
        <v>-20283.3</v>
      </c>
      <c r="Z7" s="5"/>
      <c r="AA7" s="5">
        <v>-20283.3</v>
      </c>
      <c r="AC7" s="4" t="s">
        <v>31</v>
      </c>
      <c r="AD7" s="5">
        <v>2907.5</v>
      </c>
      <c r="AF7" s="4" t="s">
        <v>40</v>
      </c>
      <c r="AG7" s="15">
        <v>4</v>
      </c>
      <c r="AI7" s="4" t="s">
        <v>24</v>
      </c>
      <c r="AJ7" s="5">
        <v>162.26304347826087</v>
      </c>
    </row>
    <row r="8" spans="1:36" x14ac:dyDescent="0.25">
      <c r="A8" s="4" t="s">
        <v>70</v>
      </c>
      <c r="B8" s="5">
        <v>4000</v>
      </c>
      <c r="C8" s="5">
        <v>3068</v>
      </c>
      <c r="D8" s="5"/>
      <c r="E8" s="4" t="s">
        <v>70</v>
      </c>
      <c r="F8" s="5">
        <v>931.99999999999977</v>
      </c>
      <c r="H8" s="4" t="s">
        <v>15</v>
      </c>
      <c r="I8" s="5">
        <v>2817.8999999999992</v>
      </c>
      <c r="K8" s="4" t="s">
        <v>21</v>
      </c>
      <c r="L8" s="5">
        <v>3754.6000000000013</v>
      </c>
      <c r="N8" s="4" t="s">
        <v>69</v>
      </c>
      <c r="O8" s="5">
        <v>55</v>
      </c>
      <c r="P8" s="5">
        <v>237</v>
      </c>
      <c r="Q8" s="5">
        <v>704.80000000000007</v>
      </c>
      <c r="R8" s="5">
        <v>1659</v>
      </c>
      <c r="S8" s="5">
        <v>75</v>
      </c>
      <c r="T8" s="5">
        <v>0</v>
      </c>
      <c r="U8" s="5">
        <v>348.9</v>
      </c>
      <c r="V8" s="5">
        <v>3079.7000000000003</v>
      </c>
      <c r="X8" s="4" t="s">
        <v>65</v>
      </c>
      <c r="Y8" s="15">
        <v>-35295</v>
      </c>
      <c r="Z8" s="15">
        <v>48000</v>
      </c>
      <c r="AA8" s="15">
        <v>12705.000000000004</v>
      </c>
      <c r="AC8" s="4" t="s">
        <v>20</v>
      </c>
      <c r="AD8" s="5">
        <v>1800</v>
      </c>
      <c r="AF8" s="4" t="s">
        <v>50</v>
      </c>
      <c r="AG8" s="15">
        <v>11</v>
      </c>
      <c r="AI8" s="4" t="s">
        <v>32</v>
      </c>
      <c r="AJ8" s="5">
        <v>130.29444444444445</v>
      </c>
    </row>
    <row r="9" spans="1:36" x14ac:dyDescent="0.25">
      <c r="A9" s="4" t="s">
        <v>71</v>
      </c>
      <c r="B9" s="5">
        <v>4000</v>
      </c>
      <c r="C9" s="5">
        <v>3146.1</v>
      </c>
      <c r="D9" s="5"/>
      <c r="E9" s="4" t="s">
        <v>71</v>
      </c>
      <c r="F9" s="5">
        <v>853.89999999999986</v>
      </c>
      <c r="H9" s="4" t="s">
        <v>51</v>
      </c>
      <c r="I9" s="5">
        <v>495</v>
      </c>
      <c r="K9" s="4" t="s">
        <v>28</v>
      </c>
      <c r="L9" s="5">
        <v>1746.5</v>
      </c>
      <c r="N9" s="4" t="s">
        <v>70</v>
      </c>
      <c r="O9" s="5">
        <v>55</v>
      </c>
      <c r="P9" s="5">
        <v>240.1</v>
      </c>
      <c r="Q9" s="5">
        <v>832.6</v>
      </c>
      <c r="R9" s="5">
        <v>1587.3000000000002</v>
      </c>
      <c r="S9" s="5"/>
      <c r="T9" s="5">
        <v>0</v>
      </c>
      <c r="U9" s="5">
        <v>353</v>
      </c>
      <c r="V9" s="5">
        <v>3068</v>
      </c>
      <c r="AC9" s="4" t="s">
        <v>27</v>
      </c>
      <c r="AD9" s="5">
        <v>1746.5</v>
      </c>
      <c r="AF9" s="4" t="s">
        <v>21</v>
      </c>
      <c r="AG9" s="15">
        <v>41</v>
      </c>
      <c r="AI9" s="4" t="s">
        <v>40</v>
      </c>
      <c r="AJ9" s="5">
        <v>94.75</v>
      </c>
    </row>
    <row r="10" spans="1:36" x14ac:dyDescent="0.25">
      <c r="A10" s="4" t="s">
        <v>72</v>
      </c>
      <c r="B10" s="5">
        <v>4000</v>
      </c>
      <c r="C10" s="5">
        <v>3030.7</v>
      </c>
      <c r="D10" s="5"/>
      <c r="E10" s="4" t="s">
        <v>72</v>
      </c>
      <c r="F10" s="5">
        <v>969.30000000000007</v>
      </c>
      <c r="H10" s="4" t="s">
        <v>41</v>
      </c>
      <c r="I10" s="5">
        <v>379</v>
      </c>
      <c r="K10" s="4" t="s">
        <v>34</v>
      </c>
      <c r="L10" s="5">
        <v>1527.8999999999999</v>
      </c>
      <c r="N10" s="4" t="s">
        <v>71</v>
      </c>
      <c r="O10" s="5">
        <v>55</v>
      </c>
      <c r="P10" s="5">
        <v>243.2</v>
      </c>
      <c r="Q10" s="5">
        <v>772.7</v>
      </c>
      <c r="R10" s="5">
        <v>1642.9999999999998</v>
      </c>
      <c r="S10" s="5">
        <v>75</v>
      </c>
      <c r="T10" s="5">
        <v>0</v>
      </c>
      <c r="U10" s="5">
        <v>357.2</v>
      </c>
      <c r="V10" s="5">
        <v>3146.0999999999995</v>
      </c>
      <c r="AC10" s="4" t="s">
        <v>52</v>
      </c>
      <c r="AD10" s="5">
        <v>1293.9000000000001</v>
      </c>
      <c r="AF10" s="4" t="s">
        <v>60</v>
      </c>
      <c r="AG10" s="15">
        <v>2</v>
      </c>
      <c r="AI10" s="4" t="s">
        <v>21</v>
      </c>
      <c r="AJ10" s="5">
        <v>91.575609756097592</v>
      </c>
    </row>
    <row r="11" spans="1:36" x14ac:dyDescent="0.25">
      <c r="A11" s="4" t="s">
        <v>73</v>
      </c>
      <c r="B11" s="5">
        <v>4000</v>
      </c>
      <c r="C11" s="5">
        <v>3095</v>
      </c>
      <c r="D11" s="5"/>
      <c r="E11" s="4" t="s">
        <v>73</v>
      </c>
      <c r="F11" s="5">
        <v>905.00000000000045</v>
      </c>
      <c r="H11" s="4" t="s">
        <v>11</v>
      </c>
      <c r="I11" s="5">
        <v>0</v>
      </c>
      <c r="K11" s="4" t="s">
        <v>14</v>
      </c>
      <c r="L11" s="5">
        <v>1290</v>
      </c>
      <c r="N11" s="4" t="s">
        <v>72</v>
      </c>
      <c r="O11" s="5">
        <v>55</v>
      </c>
      <c r="P11" s="5">
        <v>236.1</v>
      </c>
      <c r="Q11" s="5">
        <v>723.19999999999993</v>
      </c>
      <c r="R11" s="5">
        <v>1655.1000000000001</v>
      </c>
      <c r="S11" s="5"/>
      <c r="T11" s="5">
        <v>0</v>
      </c>
      <c r="U11" s="5">
        <v>361.3</v>
      </c>
      <c r="V11" s="5">
        <v>3030.7000000000003</v>
      </c>
      <c r="AC11" s="4" t="s">
        <v>13</v>
      </c>
      <c r="AD11" s="5">
        <v>1290</v>
      </c>
      <c r="AF11" s="4" t="s">
        <v>26</v>
      </c>
      <c r="AG11" s="15">
        <v>12</v>
      </c>
      <c r="AI11" s="4" t="s">
        <v>28</v>
      </c>
      <c r="AJ11" s="5">
        <v>75.934782608695656</v>
      </c>
    </row>
    <row r="12" spans="1:36" x14ac:dyDescent="0.25">
      <c r="A12" s="4" t="s">
        <v>74</v>
      </c>
      <c r="B12" s="5">
        <v>4000</v>
      </c>
      <c r="C12" s="5">
        <v>2977.0999999999995</v>
      </c>
      <c r="D12" s="5"/>
      <c r="E12" s="4" t="s">
        <v>74</v>
      </c>
      <c r="F12" s="5">
        <v>1022.9000000000005</v>
      </c>
      <c r="H12" s="4" t="s">
        <v>65</v>
      </c>
      <c r="I12" s="5">
        <v>35295</v>
      </c>
      <c r="K12" s="4" t="s">
        <v>36</v>
      </c>
      <c r="L12" s="5">
        <v>698.20000000000016</v>
      </c>
      <c r="N12" s="4" t="s">
        <v>73</v>
      </c>
      <c r="O12" s="5">
        <v>55</v>
      </c>
      <c r="P12" s="5">
        <v>259.29999999999995</v>
      </c>
      <c r="Q12" s="5">
        <v>729.10000000000014</v>
      </c>
      <c r="R12" s="5">
        <v>1686.1999999999998</v>
      </c>
      <c r="S12" s="5"/>
      <c r="T12" s="5">
        <v>0</v>
      </c>
      <c r="U12" s="5">
        <v>365.40000000000003</v>
      </c>
      <c r="V12" s="5">
        <v>3095</v>
      </c>
      <c r="AC12" s="4" t="s">
        <v>53</v>
      </c>
      <c r="AD12" s="5">
        <v>722.09999999999991</v>
      </c>
      <c r="AF12" s="4" t="s">
        <v>45</v>
      </c>
      <c r="AG12" s="15">
        <v>10</v>
      </c>
      <c r="AI12" s="4" t="s">
        <v>26</v>
      </c>
      <c r="AJ12" s="5">
        <v>53.641666666666673</v>
      </c>
    </row>
    <row r="13" spans="1:36" x14ac:dyDescent="0.25">
      <c r="A13" s="4" t="s">
        <v>75</v>
      </c>
      <c r="B13" s="5">
        <v>4000</v>
      </c>
      <c r="C13" s="5">
        <v>3112.1</v>
      </c>
      <c r="D13" s="5"/>
      <c r="E13" s="4" t="s">
        <v>75</v>
      </c>
      <c r="F13" s="5">
        <v>887.89999999999952</v>
      </c>
      <c r="K13" s="4" t="s">
        <v>26</v>
      </c>
      <c r="L13" s="5">
        <v>643.70000000000005</v>
      </c>
      <c r="N13" s="4" t="s">
        <v>74</v>
      </c>
      <c r="O13" s="5">
        <v>55</v>
      </c>
      <c r="P13" s="5">
        <v>247.5</v>
      </c>
      <c r="Q13" s="5">
        <v>735.19999999999993</v>
      </c>
      <c r="R13" s="5">
        <v>1570.1</v>
      </c>
      <c r="S13" s="5"/>
      <c r="T13" s="5">
        <v>0</v>
      </c>
      <c r="U13" s="5">
        <v>369.3</v>
      </c>
      <c r="V13" s="5">
        <v>2977.1</v>
      </c>
      <c r="AC13" s="4" t="s">
        <v>33</v>
      </c>
      <c r="AD13" s="5">
        <v>709</v>
      </c>
      <c r="AF13" s="4" t="s">
        <v>24</v>
      </c>
      <c r="AG13" s="15">
        <v>46</v>
      </c>
      <c r="AI13" s="4" t="s">
        <v>45</v>
      </c>
      <c r="AJ13" s="5">
        <v>49.500000000000007</v>
      </c>
    </row>
    <row r="14" spans="1:36" x14ac:dyDescent="0.25">
      <c r="A14" s="4" t="s">
        <v>76</v>
      </c>
      <c r="B14" s="5">
        <v>4000</v>
      </c>
      <c r="C14" s="5">
        <v>3123.7</v>
      </c>
      <c r="D14" s="5"/>
      <c r="E14" s="4" t="s">
        <v>76</v>
      </c>
      <c r="F14" s="5">
        <v>876.30000000000007</v>
      </c>
      <c r="K14" s="4" t="s">
        <v>45</v>
      </c>
      <c r="L14" s="5">
        <v>495.00000000000006</v>
      </c>
      <c r="N14" s="4" t="s">
        <v>75</v>
      </c>
      <c r="O14" s="5">
        <v>55</v>
      </c>
      <c r="P14" s="5">
        <v>245.5</v>
      </c>
      <c r="Q14" s="5">
        <v>732.9</v>
      </c>
      <c r="R14" s="5">
        <v>1705.4</v>
      </c>
      <c r="S14" s="5"/>
      <c r="T14" s="5">
        <v>0</v>
      </c>
      <c r="U14" s="5">
        <v>373.3</v>
      </c>
      <c r="V14" s="5">
        <v>3112.1000000000004</v>
      </c>
      <c r="AC14" s="4" t="s">
        <v>35</v>
      </c>
      <c r="AD14" s="5">
        <v>698.20000000000016</v>
      </c>
      <c r="AF14" s="4" t="s">
        <v>38</v>
      </c>
      <c r="AG14" s="15">
        <v>12</v>
      </c>
      <c r="AI14" s="4" t="s">
        <v>50</v>
      </c>
      <c r="AJ14" s="5">
        <v>45</v>
      </c>
    </row>
    <row r="15" spans="1:36" x14ac:dyDescent="0.25">
      <c r="A15" s="4" t="s">
        <v>77</v>
      </c>
      <c r="B15" s="5">
        <v>4000</v>
      </c>
      <c r="C15" s="5">
        <v>2867</v>
      </c>
      <c r="D15" s="5"/>
      <c r="E15" s="4" t="s">
        <v>77</v>
      </c>
      <c r="F15" s="5">
        <v>1133</v>
      </c>
      <c r="K15" s="4" t="s">
        <v>50</v>
      </c>
      <c r="L15" s="5">
        <v>495</v>
      </c>
      <c r="N15" s="4" t="s">
        <v>76</v>
      </c>
      <c r="O15" s="5">
        <v>55</v>
      </c>
      <c r="P15" s="5">
        <v>253.4</v>
      </c>
      <c r="Q15" s="5">
        <v>747.3</v>
      </c>
      <c r="R15" s="5">
        <v>1615.8000000000002</v>
      </c>
      <c r="S15" s="5">
        <v>75</v>
      </c>
      <c r="T15" s="5">
        <v>0</v>
      </c>
      <c r="U15" s="5">
        <v>377.20000000000005</v>
      </c>
      <c r="V15" s="5">
        <v>3123.7</v>
      </c>
      <c r="AC15" s="4" t="s">
        <v>65</v>
      </c>
      <c r="AD15" s="5">
        <v>29485.3</v>
      </c>
      <c r="AF15" s="4" t="s">
        <v>28</v>
      </c>
      <c r="AG15" s="15">
        <v>23</v>
      </c>
      <c r="AI15" s="4" t="s">
        <v>43</v>
      </c>
      <c r="AJ15" s="5">
        <v>40</v>
      </c>
    </row>
    <row r="16" spans="1:36" x14ac:dyDescent="0.25">
      <c r="A16" s="4" t="s">
        <v>78</v>
      </c>
      <c r="B16" s="5">
        <v>4000</v>
      </c>
      <c r="C16" s="5">
        <v>1913</v>
      </c>
      <c r="D16" s="5"/>
      <c r="E16" s="4" t="s">
        <v>78</v>
      </c>
      <c r="F16" s="5">
        <v>2087</v>
      </c>
      <c r="K16" s="4" t="s">
        <v>43</v>
      </c>
      <c r="L16" s="5">
        <v>480</v>
      </c>
      <c r="N16" s="4" t="s">
        <v>77</v>
      </c>
      <c r="O16" s="5">
        <v>55</v>
      </c>
      <c r="P16" s="5">
        <v>284</v>
      </c>
      <c r="Q16" s="5">
        <v>414</v>
      </c>
      <c r="R16" s="5">
        <v>1733</v>
      </c>
      <c r="S16" s="5"/>
      <c r="T16" s="5">
        <v>0</v>
      </c>
      <c r="U16" s="5">
        <v>381</v>
      </c>
      <c r="V16" s="5">
        <v>2867</v>
      </c>
      <c r="AF16" s="4" t="s">
        <v>43</v>
      </c>
      <c r="AG16" s="15">
        <v>12</v>
      </c>
      <c r="AI16" s="4" t="s">
        <v>34</v>
      </c>
      <c r="AJ16" s="5">
        <v>34.724999999999994</v>
      </c>
    </row>
    <row r="17" spans="1:36" x14ac:dyDescent="0.25">
      <c r="A17" s="4" t="s">
        <v>65</v>
      </c>
      <c r="B17" s="15">
        <v>48000</v>
      </c>
      <c r="C17" s="15">
        <v>35295</v>
      </c>
      <c r="E17" s="4" t="s">
        <v>65</v>
      </c>
      <c r="F17" s="5">
        <v>12704.999999999998</v>
      </c>
      <c r="K17" s="4" t="s">
        <v>60</v>
      </c>
      <c r="L17" s="5">
        <v>416.4</v>
      </c>
      <c r="N17" s="4" t="s">
        <v>78</v>
      </c>
      <c r="O17" s="5"/>
      <c r="P17" s="5">
        <v>157</v>
      </c>
      <c r="Q17" s="5">
        <v>175</v>
      </c>
      <c r="R17" s="5">
        <v>1309</v>
      </c>
      <c r="S17" s="5"/>
      <c r="T17" s="5">
        <v>0</v>
      </c>
      <c r="U17" s="5">
        <v>272</v>
      </c>
      <c r="V17" s="5">
        <v>1913</v>
      </c>
      <c r="AF17" s="4" t="s">
        <v>18</v>
      </c>
      <c r="AG17" s="15">
        <v>12</v>
      </c>
      <c r="AI17" s="4" t="s">
        <v>36</v>
      </c>
      <c r="AJ17" s="5">
        <v>30.356521739130443</v>
      </c>
    </row>
    <row r="18" spans="1:36" x14ac:dyDescent="0.25">
      <c r="K18" s="4" t="s">
        <v>40</v>
      </c>
      <c r="L18" s="5">
        <v>379</v>
      </c>
      <c r="N18" s="4" t="s">
        <v>65</v>
      </c>
      <c r="O18" s="5">
        <v>495</v>
      </c>
      <c r="P18" s="5">
        <v>2817.9</v>
      </c>
      <c r="Q18" s="5">
        <v>7916.6</v>
      </c>
      <c r="R18" s="5">
        <v>19441.8</v>
      </c>
      <c r="S18" s="5">
        <v>379</v>
      </c>
      <c r="T18" s="5">
        <v>0</v>
      </c>
      <c r="U18" s="5">
        <v>4244.7000000000007</v>
      </c>
      <c r="V18" s="5">
        <v>35295</v>
      </c>
      <c r="AF18" s="4" t="s">
        <v>34</v>
      </c>
      <c r="AG18" s="15">
        <v>44</v>
      </c>
      <c r="AI18" s="4" t="s">
        <v>38</v>
      </c>
      <c r="AJ18" s="5">
        <v>30</v>
      </c>
    </row>
    <row r="19" spans="1:36" x14ac:dyDescent="0.25">
      <c r="K19" s="4" t="s">
        <v>38</v>
      </c>
      <c r="L19" s="5">
        <v>360</v>
      </c>
      <c r="AF19" s="4" t="s">
        <v>11</v>
      </c>
      <c r="AG19" s="15">
        <v>12</v>
      </c>
      <c r="AI19" s="4" t="s">
        <v>14</v>
      </c>
      <c r="AJ19" s="5">
        <v>5</v>
      </c>
    </row>
    <row r="20" spans="1:36" x14ac:dyDescent="0.25">
      <c r="A20" s="14" t="s">
        <v>94</v>
      </c>
      <c r="B20" s="7">
        <f>GETPIVOTDATA("Income",$A$4)</f>
        <v>48000</v>
      </c>
      <c r="K20" s="4" t="s">
        <v>11</v>
      </c>
      <c r="L20" s="5">
        <v>0</v>
      </c>
      <c r="AF20" s="4" t="s">
        <v>36</v>
      </c>
      <c r="AG20" s="15">
        <v>23</v>
      </c>
      <c r="AI20" s="4" t="s">
        <v>11</v>
      </c>
      <c r="AJ20" s="5">
        <v>0</v>
      </c>
    </row>
    <row r="21" spans="1:36" x14ac:dyDescent="0.25">
      <c r="A21" s="14" t="s">
        <v>95</v>
      </c>
      <c r="B21" s="7">
        <f>GETPIVOTDATA("Expense",$A$4)</f>
        <v>35295</v>
      </c>
      <c r="K21" s="4" t="s">
        <v>65</v>
      </c>
      <c r="L21" s="5">
        <v>35295</v>
      </c>
      <c r="AF21" s="4" t="s">
        <v>65</v>
      </c>
      <c r="AG21" s="15">
        <v>558</v>
      </c>
      <c r="AI21" s="4" t="s">
        <v>65</v>
      </c>
      <c r="AJ21" s="5">
        <v>63.252688172042944</v>
      </c>
    </row>
    <row r="22" spans="1:36" x14ac:dyDescent="0.25">
      <c r="A22" s="14" t="s">
        <v>81</v>
      </c>
      <c r="B22" s="7">
        <f>GETPIVOTDATA("Amount",$E$4)</f>
        <v>12704.999999999998</v>
      </c>
    </row>
    <row r="23" spans="1:36" x14ac:dyDescent="0.25">
      <c r="A23" s="14" t="s">
        <v>96</v>
      </c>
      <c r="B23" s="8">
        <f>B22/B20</f>
        <v>0.26468749999999996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4ADB-0C27-444F-B326-325DF771C6BF}">
  <sheetPr>
    <tabColor rgb="FFCBD5E1"/>
  </sheetPr>
  <dimension ref="A1"/>
  <sheetViews>
    <sheetView showGridLines="0" tabSelected="1" zoomScale="80" zoomScaleNormal="80" workbookViewId="0">
      <selection activeCell="A50" sqref="A50"/>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25EA1-C205-4E30-8817-3036A5EBE5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Moyeez Ali</dc:creator>
  <cp:lastModifiedBy>Syed Moyeez Ali</cp:lastModifiedBy>
  <dcterms:created xsi:type="dcterms:W3CDTF">2026-08-22T11:44:52Z</dcterms:created>
  <dcterms:modified xsi:type="dcterms:W3CDTF">2026-09-08T06:59:43Z</dcterms:modified>
</cp:coreProperties>
</file>